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🕐 Rutina Diaria" sheetId="1" state="visible" r:id="rId3"/>
    <sheet name="📋 Guía Rápida" sheetId="2" state="visible" r:id="rId4"/>
    <sheet name="⚡ Paper Trading" sheetId="3" state="visible" r:id="rId5"/>
    <sheet name="📊 Historial Real" sheetId="4" state="visible" r:id="rId6"/>
    <sheet name="📈 Métric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<sst xmlns="http://schemas.openxmlformats.org/spreadsheetml/2006/main" count="330" uniqueCount="264">
  <si>
    <t xml:space="preserve">🕐 RUTINA DIARIA — Modelo Reversal Scanner v9 · Inicio: Lunes 21 Abr 2026</t>
  </si>
  <si>
    <t xml:space="preserve">4 momentos clave del día · Ejecutar en orden · Cada uno tiene un objetivo específico</t>
  </si>
  <si>
    <t xml:space="preserve">Hora</t>
  </si>
  <si>
    <t xml:space="preserve">Momento</t>
  </si>
  <si>
    <t xml:space="preserve">Qué hacer</t>
  </si>
  <si>
    <t xml:space="preserve">Tab en v9</t>
  </si>
  <si>
    <t xml:space="preserve">Decisión</t>
  </si>
  <si>
    <t xml:space="preserve">07:00 AM  ·  🌅 OPORTUNIDADES DEL DÍA  ·  Antes de abrir el mercado</t>
  </si>
  <si>
    <t xml:space="preserve">07:00 AM</t>
  </si>
  <si>
    <t xml:space="preserve">✅ Abrir v9</t>
  </si>
  <si>
    <t xml:space="preserve">Revisar VIX + S&amp;P500 + Señal del modelo en el header</t>
  </si>
  <si>
    <t xml:space="preserve">⚡ Swing Activo
🔥 Entrar hoy
📡 Detectadas M1</t>
  </si>
  <si>
    <t xml:space="preserve">¿Entro hoy?
¿A qué precio?
¿Con cuánto capital?</t>
  </si>
  <si>
    <t xml:space="preserve">✅ Escanear Swing Activo</t>
  </si>
  <si>
    <t xml:space="preserve">¿Hay señales con fase ENTRADA VÁLIDA o ENTRAR HOY?</t>
  </si>
  <si>
    <t xml:space="preserve">✅ Escanear Entrar hoy</t>
  </si>
  <si>
    <t xml:space="preserve">¿Hay M3 confirmado con catalizador activo?</t>
  </si>
  <si>
    <t xml:space="preserve">✅ Escanear Detectadas M1</t>
  </si>
  <si>
    <t xml:space="preserve">¿Hay acciones nuevas en corrección para watchlist?</t>
  </si>
  <si>
    <t xml:space="preserve">✅ Revisar Prob NBIS</t>
  </si>
  <si>
    <t xml:space="preserve">Priorizar acciones con Prob NBIS &gt; 60%</t>
  </si>
  <si>
    <t xml:space="preserve">📝 Registrar en tracker</t>
  </si>
  <si>
    <t xml:space="preserve">Anotar señales en hoja Paper Trading antes de abrir</t>
  </si>
  <si>
    <t xml:space="preserve">10:30 AM  ·  ⚡ ACTUALIZAR POSICIONES  ·  1 hora después de apertura</t>
  </si>
  <si>
    <t xml:space="preserve">10:30 AM</t>
  </si>
  <si>
    <t xml:space="preserve">✅ Abrir Mis Posiciones</t>
  </si>
  <si>
    <t xml:space="preserve">Verificar PnL live de cada posición</t>
  </si>
  <si>
    <t xml:space="preserve">💼 Mis Posiciones
⚡ Swing Activo</t>
  </si>
  <si>
    <t xml:space="preserve">¿Completo posición?
¿Ajusto stop?
¿Entro tarde?</t>
  </si>
  <si>
    <t xml:space="preserve">✅ Revisar Pre-Market vs apertura</t>
  </si>
  <si>
    <t xml:space="preserve">¿El movimiento confirmó o revirtió?</t>
  </si>
  <si>
    <t xml:space="preserve">✅ Evaluar entradas pendientes</t>
  </si>
  <si>
    <t xml:space="preserve">Si tenías orden de 50% → ¿confirma para completar al 100%?</t>
  </si>
  <si>
    <t xml:space="preserve">✅ Verificar volumen apertura</t>
  </si>
  <si>
    <t xml:space="preserve">Vol &gt; 150% del promedio = señal válida</t>
  </si>
  <si>
    <t xml:space="preserve">✅ Actualizar stops</t>
  </si>
  <si>
    <t xml:space="preserve">Ajustar stop a precio de entrada si ya ganó +5%</t>
  </si>
  <si>
    <t xml:space="preserve">📝 Revisar noticias</t>
  </si>
  <si>
    <t xml:space="preserve">¿Algún catalizador nuevo en el sidebar?</t>
  </si>
  <si>
    <t xml:space="preserve">01:00 PM  ·  👀 REVISAR STOPS  ·  Mitad de sesión</t>
  </si>
  <si>
    <t xml:space="preserve">01:00 PM</t>
  </si>
  <si>
    <t xml:space="preserve">Verificar si alguna posición está cerca del stop</t>
  </si>
  <si>
    <t xml:space="preserve">💼 Mis Posiciones
🔗 Sympathy
⚡ Swing Activo</t>
  </si>
  <si>
    <t xml:space="preserve">¿Ejecuto stop?
¿Vendo Tramo 1?
¿Nuevo swing tarde?</t>
  </si>
  <si>
    <t xml:space="preserve">✅ Revisar posiciones en pérdida</t>
  </si>
  <si>
    <t xml:space="preserve">¿Alguna bajó más del -3%? Preparar salida</t>
  </si>
  <si>
    <t xml:space="preserve">✅ Confirmar targets alcanzados</t>
  </si>
  <si>
    <t xml:space="preserve">¿Alguna llegó a Target 1 (+8%)? Ejecutar venta 60%</t>
  </si>
  <si>
    <t xml:space="preserve">✅ Revisar Sympathy</t>
  </si>
  <si>
    <t xml:space="preserve">¿Hay nuevas acciones arrastradas por el sector?</t>
  </si>
  <si>
    <t xml:space="preserve">✅ Escanear Swing si no lo hiciste</t>
  </si>
  <si>
    <t xml:space="preserve">Segunda oportunidad si el mercado giró en la mañana</t>
  </si>
  <si>
    <t xml:space="preserve">📝 Registrar movimientos en tracker</t>
  </si>
  <si>
    <t xml:space="preserve">Anotar precio día 5 en paper trading si corresponde</t>
  </si>
  <si>
    <t xml:space="preserve">03:45 PM  ·  🏁 DECISIÓN FINAL DEL DÍA  ·  15 min antes del cierre</t>
  </si>
  <si>
    <t xml:space="preserve">03:45 PM</t>
  </si>
  <si>
    <t xml:space="preserve">✅ Revisar posiciones abiertas</t>
  </si>
  <si>
    <t xml:space="preserve">¿Alguna en zona peligrosa para el cierre?</t>
  </si>
  <si>
    <t xml:space="preserve">💼 Mis Posiciones
📊 Vista completa</t>
  </si>
  <si>
    <t xml:space="preserve">¿Cierro posición?
¿Mantengo overnight?
¿Qué vigilar mañana?</t>
  </si>
  <si>
    <t xml:space="preserve">✅ Ejecutar salidas pendientes</t>
  </si>
  <si>
    <t xml:space="preserve">Si el stop se activó durante el día → salir antes del cierre</t>
  </si>
  <si>
    <t xml:space="preserve">✅ Confirmar Target 1 si llegó</t>
  </si>
  <si>
    <t xml:space="preserve">No dejar para mañana: vender 60% si llegó +8%</t>
  </si>
  <si>
    <t xml:space="preserve">✅ Revisar VIX final del día</t>
  </si>
  <si>
    <t xml:space="preserve">VIX subió mucho = precaución mañana</t>
  </si>
  <si>
    <t xml:space="preserve">✅ Registrar todo en tracker</t>
  </si>
  <si>
    <t xml:space="preserve">Actualizar Paper Trading con precios del cierre</t>
  </si>
  <si>
    <t xml:space="preserve">📝 Preparar lista de mañana</t>
  </si>
  <si>
    <t xml:space="preserve">¿Qué acciones de Detectadas M1 vigilar mañana?</t>
  </si>
  <si>
    <t xml:space="preserve">⚡ REGLAS DE ORO DEL MODELO</t>
  </si>
  <si>
    <t xml:space="preserve">🛑 Stop -5%</t>
  </si>
  <si>
    <t xml:space="preserve">Si la acción baja -5% desde tu entrada, sales ESE DÍA sin excepción ni debate</t>
  </si>
  <si>
    <t xml:space="preserve">📅 Día 10</t>
  </si>
  <si>
    <t xml:space="preserve">Si llevas 10 días en el swing y no llegó al target, vendes TODO ese día</t>
  </si>
  <si>
    <t xml:space="preserve">⚡ 50% primero</t>
  </si>
  <si>
    <t xml:space="preserve">En Entrada Válida: entrar con 50%. Si mañana confirma volumen → completar al 100%</t>
  </si>
  <si>
    <t xml:space="preserve">🎯 Tramo 1 siempre</t>
  </si>
  <si>
    <t xml:space="preserve">Cuando llegue a +8%, vender 60% para asegurar ganancia. SIEMPRE.</t>
  </si>
  <si>
    <t xml:space="preserve">📊 Registrar todo</t>
  </si>
  <si>
    <t xml:space="preserve">Si no está en el tracker, no existe. Cada señal debe quedar registrada.</t>
  </si>
  <si>
    <t xml:space="preserve">🔄 Paper trading 2 semanas</t>
  </si>
  <si>
    <t xml:space="preserve">Antes de operar con capital real, completar las 2 semanas de paper trading</t>
  </si>
  <si>
    <t xml:space="preserve">📋 GUÍA RÁPIDA — Cómo usar el tracker del modelo v9</t>
  </si>
  <si>
    <t xml:space="preserve">LOS 3 TABS DEL MODELO — y cuándo registrar</t>
  </si>
  <si>
    <t xml:space="preserve">📡 Detectadas M1</t>
  </si>
  <si>
    <t xml:space="preserve">La acción está cayendo</t>
  </si>
  <si>
    <t xml:space="preserve">Solo agregar a watchlist. NO registrar en paper trading aún. Anotar en columna 'Notas' para seguimiento.</t>
  </si>
  <si>
    <t xml:space="preserve">⚡ Swing Activo</t>
  </si>
  <si>
    <t xml:space="preserve">La acción ya rebotó 2-3 días</t>
  </si>
  <si>
    <t xml:space="preserve">SÍ registrar en paper trading. Anota fecha, ticker, fase (Temprana/Válida/Hoy), precio y stop.</t>
  </si>
  <si>
    <t xml:space="preserve">🔥 Entrar hoy</t>
  </si>
  <si>
    <t xml:space="preserve">M3 confirmado con catalizador</t>
  </si>
  <si>
    <t xml:space="preserve">SÍ registrar en paper trading. Señal más fuerte del modelo. Anota todo con detalle.</t>
  </si>
  <si>
    <t xml:space="preserve">LAS 3 FASES DEL SWING</t>
  </si>
  <si>
    <t xml:space="preserve">👀 TEMPRANA</t>
  </si>
  <si>
    <t xml:space="preserve">M1→M2: Solo 2 días subiendo</t>
  </si>
  <si>
    <t xml:space="preserve">NO entrar. Anotar en Notas para seguimiento. Si mañana confirma → registrar como Entrada Válida.</t>
  </si>
  <si>
    <t xml:space="preserve">⚡ ENTRADA VÁLIDA</t>
  </si>
  <si>
    <t xml:space="preserve">M2: Rebote confirmado</t>
  </si>
  <si>
    <t xml:space="preserve">Entrar 50% del tamaño. Registrar precio entrada. Si mañana sube con vol → completar al 100%.</t>
  </si>
  <si>
    <t xml:space="preserve">🔥 ENTRAR HOY</t>
  </si>
  <si>
    <t xml:space="preserve">M3: 3+ días + volumen alto</t>
  </si>
  <si>
    <t xml:space="preserve">Entrar 100% del tamaño. Registrar con todos los datos. Es la señal más completa del swing.</t>
  </si>
  <si>
    <t xml:space="preserve">QUÉ REGISTRAR AL ENTRAR</t>
  </si>
  <si>
    <t xml:space="preserve">Fecha señal</t>
  </si>
  <si>
    <t xml:space="preserve">Fecha en que el modelo la detectó</t>
  </si>
  <si>
    <t xml:space="preserve">Importante para calcular días en posición y comparar con SPY del mismo período.</t>
  </si>
  <si>
    <t xml:space="preserve">Tab señal</t>
  </si>
  <si>
    <t xml:space="preserve">Tab donde apareció la señal</t>
  </si>
  <si>
    <t xml:space="preserve">Escribir exactamente: 'Swing Activo', 'Entrar hoy' o 'Detectadas M1'.</t>
  </si>
  <si>
    <t xml:space="preserve">Fase</t>
  </si>
  <si>
    <t xml:space="preserve">Fase de entrada detectada</t>
  </si>
  <si>
    <t xml:space="preserve">TEMPRANA · ENTRADA VÁLIDA · ENTRAR HOY · M3 CONFIRMADO</t>
  </si>
  <si>
    <t xml:space="preserve">VIX entrada</t>
  </si>
  <si>
    <t xml:space="preserve">VIX del día que entras</t>
  </si>
  <si>
    <t xml:space="preserve">Lo ves en el header del dashboard. Importante para calibrar si el modelo funciona mejor con VIX alto.</t>
  </si>
  <si>
    <t xml:space="preserve">RSI entrada</t>
  </si>
  <si>
    <t xml:space="preserve">RSI de la acción al entrar</t>
  </si>
  <si>
    <t xml:space="preserve">Lo ves en la tarjeta del scanner. Valida que los filtros del modelo son correctos.</t>
  </si>
  <si>
    <t xml:space="preserve">Volumen %</t>
  </si>
  <si>
    <t xml:space="preserve">Volumen vs promedio del día</t>
  </si>
  <si>
    <t xml:space="preserve">🟢 Alto &gt;150% · 🟡 Normal 100-150% · 🔴 Bajo &lt;100%</t>
  </si>
  <si>
    <t xml:space="preserve">Prob NBIS %</t>
  </si>
  <si>
    <t xml:space="preserve">Probabilidad de seguir patrón NBIS</t>
  </si>
  <si>
    <t xml:space="preserve">Aparece en cada tarjeta. Registrar para correlacionar con resultado final.</t>
  </si>
  <si>
    <t xml:space="preserve">QUÉ REGISTRAR AL SALIR</t>
  </si>
  <si>
    <t xml:space="preserve">Precio día 5</t>
  </si>
  <si>
    <t xml:space="preserve">Precio exacto al quinto día hábil</t>
  </si>
  <si>
    <t xml:space="preserve">Registrar aunque no hayas salido. Para medir si el modelo acierta en el timing.</t>
  </si>
  <si>
    <t xml:space="preserve">Precio día 10</t>
  </si>
  <si>
    <t xml:space="preserve">Precio exacto al décimo día hábil</t>
  </si>
  <si>
    <t xml:space="preserve">Salida obligatoria del swing. Si no llegó al target, igual sales.</t>
  </si>
  <si>
    <t xml:space="preserve">¿Llegó a Target 1?</t>
  </si>
  <si>
    <t xml:space="preserve">¿Alcanzó el +8%?</t>
  </si>
  <si>
    <t xml:space="preserve">Sí/No. Si Sí → vendiste 60% en ese punto.</t>
  </si>
  <si>
    <t xml:space="preserve">¿Llegó a Target 2?</t>
  </si>
  <si>
    <t xml:space="preserve">¿Alcanzó el +12%?</t>
  </si>
  <si>
    <t xml:space="preserve">Sí/No. Si Sí → vendiste el runner 40%.</t>
  </si>
  <si>
    <t xml:space="preserve">¿Activó stop?</t>
  </si>
  <si>
    <t xml:space="preserve">¿Bajó más del -5%?</t>
  </si>
  <si>
    <t xml:space="preserve">Sí/No. Si Sí → salida total ese día sin excepción.</t>
  </si>
  <si>
    <t xml:space="preserve">Resultado final %</t>
  </si>
  <si>
    <t xml:space="preserve">Ganancia o pérdida real</t>
  </si>
  <si>
    <t xml:space="preserve">Calcular sobre el capital total comprometido, no solo la parte vendida.</t>
  </si>
  <si>
    <t xml:space="preserve">SPY mismo período</t>
  </si>
  <si>
    <t xml:space="preserve">Cuánto subió SPY en los mismos días</t>
  </si>
  <si>
    <t xml:space="preserve">Buscar en Google: SPY precio día entrada vs día salida. Clave para medir alpha del modelo.</t>
  </si>
  <si>
    <t xml:space="preserve">¿Modelo correcto?</t>
  </si>
  <si>
    <t xml:space="preserve">¿La señal fue acertada?</t>
  </si>
  <si>
    <t xml:space="preserve">Sí = ganó dinero o evitó pérdida. No = perdió. Neutral = resultado mixto.</t>
  </si>
  <si>
    <t xml:space="preserve">⚡ PAPER TRADING — Señales modelo v9 · 21 Abr 2026 — 02 May 2026</t>
  </si>
  <si>
    <t xml:space="preserve">Registra SOLO señales de ⚡ Swing Activo y 🔥 Entrar hoy. Para 📡 Detectadas M1 usar columna Notas.</t>
  </si>
  <si>
    <t xml:space="preserve">IDENTIFICACIÓN</t>
  </si>
  <si>
    <t xml:space="preserve">CONTEXTO MERCADO AL ENTRAR</t>
  </si>
  <si>
    <t xml:space="preserve">PRECIOS</t>
  </si>
  <si>
    <t xml:space="preserve">SEGUIMIENTO</t>
  </si>
  <si>
    <t xml:space="preserve">RESULTADO</t>
  </si>
  <si>
    <t xml:space="preserve">ANÁLISIS</t>
  </si>
  <si>
    <t xml:space="preserve">Fecha
Señal</t>
  </si>
  <si>
    <t xml:space="preserve">Ticker</t>
  </si>
  <si>
    <t xml:space="preserve">Tab
Señal</t>
  </si>
  <si>
    <t xml:space="preserve">Fase
detectada</t>
  </si>
  <si>
    <t xml:space="preserve">VIX
entrada</t>
  </si>
  <si>
    <t xml:space="preserve">RSI
entrada</t>
  </si>
  <si>
    <t xml:space="preserve">Vol
%</t>
  </si>
  <si>
    <t xml:space="preserve">Prob
NBIS %</t>
  </si>
  <si>
    <t xml:space="preserve">Precio
entrada</t>
  </si>
  <si>
    <t xml:space="preserve">Stop
-5%</t>
  </si>
  <si>
    <t xml:space="preserve">Target 1
+8%</t>
  </si>
  <si>
    <t xml:space="preserve">Target 2
+12%</t>
  </si>
  <si>
    <t xml:space="preserve">Precio
día 5</t>
  </si>
  <si>
    <t xml:space="preserve">¿T1
alcanzado?</t>
  </si>
  <si>
    <t xml:space="preserve">Precio
día 10</t>
  </si>
  <si>
    <t xml:space="preserve">¿T2
alcanzado?</t>
  </si>
  <si>
    <t xml:space="preserve">¿Stop
activado?</t>
  </si>
  <si>
    <t xml:space="preserve">Resultado
%</t>
  </si>
  <si>
    <t xml:space="preserve">SPY mismo
período</t>
  </si>
  <si>
    <t xml:space="preserve">Alpha
vs SPY</t>
  </si>
  <si>
    <t xml:space="preserve">¿Modelo
correcto?</t>
  </si>
  <si>
    <t xml:space="preserve">Días en
posición</t>
  </si>
  <si>
    <t xml:space="preserve">Notas</t>
  </si>
  <si>
    <t xml:space="preserve">📊 HISTORIAL — Operaciones reales ejecutadas + oportunidades perdidas</t>
  </si>
  <si>
    <t xml:space="preserve">Incluye: tus operaciones + operaciones de tu señora + oportunidades que viste y no entraste</t>
  </si>
  <si>
    <t xml:space="preserve">Nombre</t>
  </si>
  <si>
    <t xml:space="preserve">Quién</t>
  </si>
  <si>
    <t xml:space="preserve">Tipo
(Ejecutada/No entré)</t>
  </si>
  <si>
    <t xml:space="preserve">Fecha
Entrada</t>
  </si>
  <si>
    <t xml:space="preserve">Precio
Entrada</t>
  </si>
  <si>
    <t xml:space="preserve">Cantidad</t>
  </si>
  <si>
    <t xml:space="preserve">Capital
$</t>
  </si>
  <si>
    <t xml:space="preserve">Fecha
Salida</t>
  </si>
  <si>
    <t xml:space="preserve">Precio
Salida</t>
  </si>
  <si>
    <t xml:space="preserve">P&amp;L
$</t>
  </si>
  <si>
    <t xml:space="preserve">P&amp;L
%</t>
  </si>
  <si>
    <t xml:space="preserve">SPY
mismo período</t>
  </si>
  <si>
    <t xml:space="preserve">Prob NBIS
al entrar</t>
  </si>
  <si>
    <t xml:space="preserve">OPEN</t>
  </si>
  <si>
    <t xml:space="preserve">Opendoor</t>
  </si>
  <si>
    <t xml:space="preserve">Yo</t>
  </si>
  <si>
    <t xml:space="preserve">Ejecutada</t>
  </si>
  <si>
    <t xml:space="preserve">—</t>
  </si>
  <si>
    <t xml:space="preserve">2025-08-15</t>
  </si>
  <si>
    <t xml:space="preserve">2025-11-20</t>
  </si>
  <si>
    <t xml:space="preserve">NKE</t>
  </si>
  <si>
    <t xml:space="preserve">Nike</t>
  </si>
  <si>
    <t xml:space="preserve">2022-07-01</t>
  </si>
  <si>
    <t xml:space="preserve">Abierta</t>
  </si>
  <si>
    <t xml:space="preserve">CNC</t>
  </si>
  <si>
    <t xml:space="preserve">Centene</t>
  </si>
  <si>
    <t xml:space="preserve">2025-10-07</t>
  </si>
  <si>
    <t xml:space="preserve">CLOV</t>
  </si>
  <si>
    <t xml:space="preserve">Clover</t>
  </si>
  <si>
    <t xml:space="preserve">2025-10-01</t>
  </si>
  <si>
    <t xml:space="preserve">NBIS</t>
  </si>
  <si>
    <t xml:space="preserve">Nebius</t>
  </si>
  <si>
    <t xml:space="preserve">2026-04-09</t>
  </si>
  <si>
    <t xml:space="preserve">MRNA</t>
  </si>
  <si>
    <t xml:space="preserve">Moderna</t>
  </si>
  <si>
    <t xml:space="preserve">2026-02-17</t>
  </si>
  <si>
    <t xml:space="preserve">TAN</t>
  </si>
  <si>
    <t xml:space="preserve">Invesco Solar</t>
  </si>
  <si>
    <t xml:space="preserve">NVDA</t>
  </si>
  <si>
    <t xml:space="preserve">NVIDIA</t>
  </si>
  <si>
    <t xml:space="preserve">2025-10-02</t>
  </si>
  <si>
    <t xml:space="preserve">CROX</t>
  </si>
  <si>
    <t xml:space="preserve">Crocs</t>
  </si>
  <si>
    <t xml:space="preserve">APLD</t>
  </si>
  <si>
    <t xml:space="preserve">Applied Digital</t>
  </si>
  <si>
    <t xml:space="preserve">ASTS</t>
  </si>
  <si>
    <t xml:space="preserve">AST SpaceMobile</t>
  </si>
  <si>
    <t xml:space="preserve">2025-10-29</t>
  </si>
  <si>
    <t xml:space="preserve">ACN</t>
  </si>
  <si>
    <t xml:space="preserve">Accenture</t>
  </si>
  <si>
    <t xml:space="preserve">No entré</t>
  </si>
  <si>
    <t xml:space="preserve">Radar</t>
  </si>
  <si>
    <t xml:space="preserve">2026-04-07</t>
  </si>
  <si>
    <t xml:space="preserve">STAA</t>
  </si>
  <si>
    <t xml:space="preserve">STAAR Surgical</t>
  </si>
  <si>
    <t xml:space="preserve">2026-02-01</t>
  </si>
  <si>
    <t xml:space="preserve">📈 MÉTRICAS DEL MODELO v9 — Calculadas automáticamente</t>
  </si>
  <si>
    <t xml:space="preserve">PAPER TRADING — Señales v9 · 21 Abr — 02 May 2026 (2 semanas)</t>
  </si>
  <si>
    <t xml:space="preserve">Total señales registradas</t>
  </si>
  <si>
    <t xml:space="preserve">Meta: mínimo 10 señales</t>
  </si>
  <si>
    <t xml:space="preserve">Señales correctas (resultado &gt; 0)</t>
  </si>
  <si>
    <t xml:space="preserve">Tasa de acierto Paper Trading</t>
  </si>
  <si>
    <t xml:space="preserve">Objetivo &gt; 55%</t>
  </si>
  <si>
    <t xml:space="preserve">Ganancia promedio ganadores</t>
  </si>
  <si>
    <t xml:space="preserve">Objetivo &gt; 8%</t>
  </si>
  <si>
    <t xml:space="preserve">Pérdida promedio perdedores</t>
  </si>
  <si>
    <t xml:space="preserve">Objetivo &gt; -5%</t>
  </si>
  <si>
    <t xml:space="preserve">Alpha promedio vs SPY</t>
  </si>
  <si>
    <t xml:space="preserve">Objetivo &gt; 0%</t>
  </si>
  <si>
    <t xml:space="preserve">Señales Swing Activo</t>
  </si>
  <si>
    <t xml:space="preserve">Señales Entrar hoy</t>
  </si>
  <si>
    <t xml:space="preserve">HISTORIAL REAL — Operaciones ejecutadas</t>
  </si>
  <si>
    <t xml:space="preserve">Total operaciones ejecutadas</t>
  </si>
  <si>
    <t xml:space="preserve">Historial total</t>
  </si>
  <si>
    <t xml:space="preserve">Operaciones ganadoras</t>
  </si>
  <si>
    <t xml:space="preserve">Tasa de acierto real</t>
  </si>
  <si>
    <t xml:space="preserve">Objetivo &gt; 20%</t>
  </si>
  <si>
    <t xml:space="preserve">Objetivo &gt; -10%</t>
  </si>
  <si>
    <t xml:space="preserve">Oportunidades perdidas detectadas</t>
  </si>
  <si>
    <t xml:space="preserve">Para calibrar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</si>
</sst>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"/>
    <numFmt numFmtId="166" formatCode="\$#,##0.00"/>
    <numFmt numFmtId="167" formatCode="0.0%"/>
    <numFmt numFmtId="168" formatCode="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16A34A"/>
      <name val="Arial"/>
      <family val="0"/>
      <charset val="1"/>
    </font>
    <font>
      <b val="true"/>
      <sz val="10"/>
      <color rgb="FF16A34A"/>
      <name val="Arial"/>
      <family val="0"/>
      <charset val="1"/>
    </font>
    <font>
      <sz val="10"/>
      <color rgb="FF1E293B"/>
      <name val="Arial"/>
      <family val="0"/>
      <charset val="1"/>
    </font>
    <font>
      <b val="true"/>
      <sz val="9"/>
      <color rgb="FF16A34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0891B2"/>
      <name val="Arial"/>
      <family val="0"/>
      <charset val="1"/>
    </font>
    <font>
      <b val="true"/>
      <sz val="10"/>
      <color rgb="FF0891B2"/>
      <name val="Arial"/>
      <family val="0"/>
      <charset val="1"/>
    </font>
    <font>
      <b val="true"/>
      <sz val="9"/>
      <color rgb="FF0891B2"/>
      <name val="Arial"/>
      <family val="0"/>
      <charset val="1"/>
    </font>
    <font>
      <b val="true"/>
      <sz val="12"/>
      <color rgb="FFD97706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12"/>
      <color rgb="FF7C3AED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b val="true"/>
      <sz val="9"/>
      <color rgb="FF7C3AED"/>
      <name val="Arial"/>
      <family val="0"/>
      <charset val="1"/>
    </font>
    <font>
      <b val="true"/>
      <sz val="10"/>
      <color rgb="FF2563EB"/>
      <name val="Arial"/>
      <family val="0"/>
      <charset val="1"/>
    </font>
    <font>
      <b val="true"/>
      <sz val="11"/>
      <color rgb="FF2563EB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sz val="10"/>
      <color rgb="FF64748B"/>
      <name val="Arial"/>
      <family val="0"/>
      <charset val="1"/>
    </font>
    <font>
      <b val="true"/>
      <sz val="11"/>
      <color rgb="FF0891B2"/>
      <name val="Arial"/>
      <family val="0"/>
      <charset val="1"/>
    </font>
    <font>
      <b val="true"/>
      <sz val="11"/>
      <color rgb="FF16A34A"/>
      <name val="Arial"/>
      <family val="0"/>
      <charset val="1"/>
    </font>
    <font>
      <b val="true"/>
      <sz val="11"/>
      <color rgb="FFD9770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DC2626"/>
      <name val="Arial"/>
      <family val="0"/>
      <charset val="1"/>
    </font>
    <font>
      <sz val="10"/>
      <color rgb="FFD97706"/>
      <name val="Arial"/>
      <family val="0"/>
      <charset val="1"/>
    </font>
    <font>
      <sz val="10"/>
      <color rgb="FF16A34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2563EB"/>
      <name val="Arial"/>
      <family val="0"/>
      <charset val="1"/>
    </font>
    <font>
      <i val="true"/>
      <sz val="9"/>
      <color rgb="FF16A34A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E3A5F"/>
        <bgColor rgb="FF164E63"/>
      </patternFill>
    </fill>
    <fill>
      <patternFill patternType="solid">
        <fgColor rgb="FFEFF6FF"/>
        <bgColor rgb="FFF5F3FF"/>
      </patternFill>
    </fill>
    <fill>
      <patternFill patternType="solid">
        <fgColor rgb="FF2563EB"/>
        <bgColor rgb="FF1D4ED8"/>
      </patternFill>
    </fill>
    <fill>
      <patternFill patternType="solid">
        <fgColor rgb="FF166534"/>
        <bgColor rgb="FF0F766E"/>
      </patternFill>
    </fill>
    <fill>
      <patternFill patternType="solid">
        <fgColor rgb="FFF0FDF4"/>
        <bgColor rgb="FFF0FDFA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0FDFA"/>
      </patternFill>
    </fill>
    <fill>
      <patternFill patternType="solid">
        <fgColor rgb="FF164E63"/>
        <bgColor rgb="FF1E3A5F"/>
      </patternFill>
    </fill>
    <fill>
      <patternFill patternType="solid">
        <fgColor rgb="FFECFEFF"/>
        <bgColor rgb="FFF0FDFA"/>
      </patternFill>
    </fill>
    <fill>
      <patternFill patternType="solid">
        <fgColor rgb="FF78350F"/>
        <bgColor rgb="FF993366"/>
      </patternFill>
    </fill>
    <fill>
      <patternFill patternType="solid">
        <fgColor rgb="FFFFFBEB"/>
        <bgColor rgb="FFF8FAFC"/>
      </patternFill>
    </fill>
    <fill>
      <patternFill patternType="solid">
        <fgColor rgb="FF4C1D95"/>
        <bgColor rgb="FF660066"/>
      </patternFill>
    </fill>
    <fill>
      <patternFill patternType="solid">
        <fgColor rgb="FFF5F3FF"/>
        <bgColor rgb="FFEFF6FF"/>
      </patternFill>
    </fill>
    <fill>
      <patternFill patternType="solid">
        <fgColor rgb="FF0F766E"/>
        <bgColor rgb="FF166534"/>
      </patternFill>
    </fill>
    <fill>
      <patternFill patternType="solid">
        <fgColor rgb="FFF0FDFA"/>
        <bgColor rgb="FFF0FDF4"/>
      </patternFill>
    </fill>
    <fill>
      <patternFill patternType="solid">
        <fgColor rgb="FF1D4ED8"/>
        <bgColor rgb="FF2563EB"/>
      </patternFill>
    </fill>
    <fill>
      <patternFill patternType="solid">
        <fgColor rgb="FF7C3AED"/>
        <bgColor rgb="FF4C1D95"/>
      </patternFill>
    </fill>
    <fill>
      <patternFill patternType="solid">
        <fgColor rgb="FFD97706"/>
        <bgColor rgb="FFFF9900"/>
      </patternFill>
    </fill>
    <fill>
      <patternFill patternType="solid">
        <fgColor rgb="FF16A34A"/>
        <bgColor rgb="FF0F766E"/>
      </patternFill>
    </fill>
    <fill>
      <patternFill patternType="solid">
        <fgColor rgb="FF64748B"/>
        <bgColor rgb="FF808080"/>
      </patternFill>
    </fill>
    <fill>
      <patternFill patternType="solid">
        <fgColor rgb="FFFEF2F2"/>
        <bgColor rgb="FFF5F3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8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1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3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7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0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4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3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3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F766E"/>
      <rgbColor rgb="FFEFF6FF"/>
      <rgbColor rgb="FF808080"/>
      <rgbColor rgb="FF9999FF"/>
      <rgbColor rgb="FF7C3AED"/>
      <rgbColor rgb="FFFFFBEB"/>
      <rgbColor rgb="FFECFEFF"/>
      <rgbColor rgb="FF660066"/>
      <rgbColor rgb="FFFF8080"/>
      <rgbColor rgb="FF1D4ED8"/>
      <rgbColor rgb="FFE2E8F0"/>
      <rgbColor rgb="FF000080"/>
      <rgbColor rgb="FFFF00FF"/>
      <rgbColor rgb="FFFFFF00"/>
      <rgbColor rgb="FF00FFFF"/>
      <rgbColor rgb="FF800080"/>
      <rgbColor rgb="FF800000"/>
      <rgbColor rgb="FF0891B2"/>
      <rgbColor rgb="FF0000FF"/>
      <rgbColor rgb="FF00CCFF"/>
      <rgbColor rgb="FFF0FDFA"/>
      <rgbColor rgb="FFF0FDF4"/>
      <rgbColor rgb="FFFEF2F2"/>
      <rgbColor rgb="FFF8FAFC"/>
      <rgbColor rgb="FFFF99CC"/>
      <rgbColor rgb="FFCC99FF"/>
      <rgbColor rgb="FFF5F3FF"/>
      <rgbColor rgb="FF2563EB"/>
      <rgbColor rgb="FF33CCCC"/>
      <rgbColor rgb="FF99CC00"/>
      <rgbColor rgb="FFFFCC00"/>
      <rgbColor rgb="FFFF9900"/>
      <rgbColor rgb="FFD97706"/>
      <rgbColor rgb="FF64748B"/>
      <rgbColor rgb="FF969696"/>
      <rgbColor rgb="FF1E3A5F"/>
      <rgbColor rgb="FF16A34A"/>
      <rgbColor rgb="FF164E63"/>
      <rgbColor rgb="FF333300"/>
      <rgbColor rgb="FF78350F"/>
      <rgbColor rgb="FF993366"/>
      <rgbColor rgb="FF4C1D9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22"/>
    <col collapsed="false" customWidth="true" hidden="false" outlineLevel="0" max="5" min="5" style="1" width="18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</row>
    <row r="3" customFormat="false" ht="24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customFormat="false" ht="25.5" hidden="false" customHeight="true" outlineLevel="0" collapsed="false">
      <c r="A4" s="5" t="s">
        <v>7</v>
      </c>
      <c r="B4" s="5"/>
      <c r="C4" s="5"/>
      <c r="D4" s="5"/>
      <c r="E4" s="5"/>
    </row>
    <row r="5" customFormat="false" ht="27.75" hidden="false" customHeight="true" outlineLevel="0" collapsed="false">
      <c r="A5" s="6" t="s">
        <v>8</v>
      </c>
      <c r="B5" s="7" t="s">
        <v>9</v>
      </c>
      <c r="C5" s="8" t="s">
        <v>10</v>
      </c>
      <c r="D5" s="9" t="s">
        <v>11</v>
      </c>
      <c r="E5" s="10" t="s">
        <v>12</v>
      </c>
    </row>
    <row r="6" customFormat="false" ht="27.75" hidden="false" customHeight="true" outlineLevel="0" collapsed="false">
      <c r="A6" s="11"/>
      <c r="B6" s="12" t="s">
        <v>13</v>
      </c>
      <c r="C6" s="13" t="s">
        <v>14</v>
      </c>
      <c r="D6" s="11"/>
      <c r="E6" s="11"/>
    </row>
    <row r="7" customFormat="false" ht="27.75" hidden="false" customHeight="true" outlineLevel="0" collapsed="false">
      <c r="A7" s="11"/>
      <c r="B7" s="7" t="s">
        <v>15</v>
      </c>
      <c r="C7" s="8" t="s">
        <v>16</v>
      </c>
      <c r="D7" s="11"/>
      <c r="E7" s="11"/>
    </row>
    <row r="8" customFormat="false" ht="27.75" hidden="false" customHeight="true" outlineLevel="0" collapsed="false">
      <c r="A8" s="11"/>
      <c r="B8" s="12" t="s">
        <v>17</v>
      </c>
      <c r="C8" s="13" t="s">
        <v>18</v>
      </c>
      <c r="D8" s="11"/>
      <c r="E8" s="11"/>
    </row>
    <row r="9" customFormat="false" ht="27.75" hidden="false" customHeight="true" outlineLevel="0" collapsed="false">
      <c r="A9" s="11"/>
      <c r="B9" s="7" t="s">
        <v>19</v>
      </c>
      <c r="C9" s="8" t="s">
        <v>20</v>
      </c>
      <c r="D9" s="11"/>
      <c r="E9" s="11"/>
    </row>
    <row r="10" customFormat="false" ht="27.75" hidden="false" customHeight="true" outlineLevel="0" collapsed="false">
      <c r="A10" s="11"/>
      <c r="B10" s="12" t="s">
        <v>21</v>
      </c>
      <c r="C10" s="13" t="s">
        <v>22</v>
      </c>
      <c r="D10" s="11"/>
      <c r="E10" s="11"/>
    </row>
    <row r="11" customFormat="false" ht="7.5" hidden="false" customHeight="true" outlineLevel="0" collapsed="false">
      <c r="A11" s="14"/>
      <c r="B11" s="14"/>
      <c r="C11" s="14"/>
      <c r="D11" s="14"/>
      <c r="E11" s="14"/>
    </row>
    <row r="12" customFormat="false" ht="25.5" hidden="false" customHeight="true" outlineLevel="0" collapsed="false">
      <c r="A12" s="15" t="s">
        <v>23</v>
      </c>
      <c r="B12" s="15"/>
      <c r="C12" s="15"/>
      <c r="D12" s="15"/>
      <c r="E12" s="15"/>
    </row>
    <row r="13" customFormat="false" ht="27.75" hidden="false" customHeight="true" outlineLevel="0" collapsed="false">
      <c r="A13" s="16" t="s">
        <v>24</v>
      </c>
      <c r="B13" s="17" t="s">
        <v>25</v>
      </c>
      <c r="C13" s="18" t="s">
        <v>26</v>
      </c>
      <c r="D13" s="19" t="s">
        <v>27</v>
      </c>
      <c r="E13" s="20" t="s">
        <v>28</v>
      </c>
    </row>
    <row r="14" customFormat="false" ht="27.75" hidden="false" customHeight="true" outlineLevel="0" collapsed="false">
      <c r="A14" s="21"/>
      <c r="B14" s="22" t="s">
        <v>29</v>
      </c>
      <c r="C14" s="13" t="s">
        <v>30</v>
      </c>
      <c r="D14" s="21"/>
      <c r="E14" s="21"/>
    </row>
    <row r="15" customFormat="false" ht="27.75" hidden="false" customHeight="true" outlineLevel="0" collapsed="false">
      <c r="A15" s="21"/>
      <c r="B15" s="17" t="s">
        <v>31</v>
      </c>
      <c r="C15" s="18" t="s">
        <v>32</v>
      </c>
      <c r="D15" s="21"/>
      <c r="E15" s="21"/>
    </row>
    <row r="16" customFormat="false" ht="27.75" hidden="false" customHeight="true" outlineLevel="0" collapsed="false">
      <c r="A16" s="21"/>
      <c r="B16" s="22" t="s">
        <v>33</v>
      </c>
      <c r="C16" s="13" t="s">
        <v>34</v>
      </c>
      <c r="D16" s="21"/>
      <c r="E16" s="21"/>
    </row>
    <row r="17" customFormat="false" ht="27.75" hidden="false" customHeight="true" outlineLevel="0" collapsed="false">
      <c r="A17" s="21"/>
      <c r="B17" s="17" t="s">
        <v>35</v>
      </c>
      <c r="C17" s="18" t="s">
        <v>36</v>
      </c>
      <c r="D17" s="21"/>
      <c r="E17" s="21"/>
    </row>
    <row r="18" customFormat="false" ht="27.75" hidden="false" customHeight="true" outlineLevel="0" collapsed="false">
      <c r="A18" s="21"/>
      <c r="B18" s="22" t="s">
        <v>37</v>
      </c>
      <c r="C18" s="13" t="s">
        <v>38</v>
      </c>
      <c r="D18" s="21"/>
      <c r="E18" s="21"/>
    </row>
    <row r="19" customFormat="false" ht="7.5" hidden="false" customHeight="true" outlineLevel="0" collapsed="false">
      <c r="A19" s="14"/>
      <c r="B19" s="14"/>
      <c r="C19" s="14"/>
      <c r="D19" s="14"/>
      <c r="E19" s="14"/>
    </row>
    <row r="20" customFormat="false" ht="25.5" hidden="false" customHeight="true" outlineLevel="0" collapsed="false">
      <c r="A20" s="23" t="s">
        <v>39</v>
      </c>
      <c r="B20" s="23"/>
      <c r="C20" s="23"/>
      <c r="D20" s="23"/>
      <c r="E20" s="23"/>
    </row>
    <row r="21" customFormat="false" ht="27.75" hidden="false" customHeight="true" outlineLevel="0" collapsed="false">
      <c r="A21" s="24" t="s">
        <v>40</v>
      </c>
      <c r="B21" s="25" t="s">
        <v>25</v>
      </c>
      <c r="C21" s="26" t="s">
        <v>41</v>
      </c>
      <c r="D21" s="27" t="s">
        <v>42</v>
      </c>
      <c r="E21" s="28" t="s">
        <v>43</v>
      </c>
    </row>
    <row r="22" customFormat="false" ht="27.75" hidden="false" customHeight="true" outlineLevel="0" collapsed="false">
      <c r="A22" s="29"/>
      <c r="B22" s="30" t="s">
        <v>44</v>
      </c>
      <c r="C22" s="13" t="s">
        <v>45</v>
      </c>
      <c r="D22" s="29"/>
      <c r="E22" s="29"/>
    </row>
    <row r="23" customFormat="false" ht="27.75" hidden="false" customHeight="true" outlineLevel="0" collapsed="false">
      <c r="A23" s="29"/>
      <c r="B23" s="25" t="s">
        <v>46</v>
      </c>
      <c r="C23" s="26" t="s">
        <v>47</v>
      </c>
      <c r="D23" s="29"/>
      <c r="E23" s="29"/>
    </row>
    <row r="24" customFormat="false" ht="27.75" hidden="false" customHeight="true" outlineLevel="0" collapsed="false">
      <c r="A24" s="29"/>
      <c r="B24" s="30" t="s">
        <v>48</v>
      </c>
      <c r="C24" s="13" t="s">
        <v>49</v>
      </c>
      <c r="D24" s="29"/>
      <c r="E24" s="29"/>
    </row>
    <row r="25" customFormat="false" ht="27.75" hidden="false" customHeight="true" outlineLevel="0" collapsed="false">
      <c r="A25" s="29"/>
      <c r="B25" s="25" t="s">
        <v>50</v>
      </c>
      <c r="C25" s="26" t="s">
        <v>51</v>
      </c>
      <c r="D25" s="29"/>
      <c r="E25" s="29"/>
    </row>
    <row r="26" customFormat="false" ht="27.75" hidden="false" customHeight="true" outlineLevel="0" collapsed="false">
      <c r="A26" s="29"/>
      <c r="B26" s="30" t="s">
        <v>52</v>
      </c>
      <c r="C26" s="13" t="s">
        <v>53</v>
      </c>
      <c r="D26" s="29"/>
      <c r="E26" s="29"/>
    </row>
    <row r="27" customFormat="false" ht="7.5" hidden="false" customHeight="true" outlineLevel="0" collapsed="false">
      <c r="A27" s="14"/>
      <c r="B27" s="14"/>
      <c r="C27" s="14"/>
      <c r="D27" s="14"/>
      <c r="E27" s="14"/>
    </row>
    <row r="28" customFormat="false" ht="25.5" hidden="false" customHeight="true" outlineLevel="0" collapsed="false">
      <c r="A28" s="31" t="s">
        <v>54</v>
      </c>
      <c r="B28" s="31"/>
      <c r="C28" s="31"/>
      <c r="D28" s="31"/>
      <c r="E28" s="31"/>
    </row>
    <row r="29" customFormat="false" ht="27.75" hidden="false" customHeight="true" outlineLevel="0" collapsed="false">
      <c r="A29" s="32" t="s">
        <v>55</v>
      </c>
      <c r="B29" s="33" t="s">
        <v>56</v>
      </c>
      <c r="C29" s="34" t="s">
        <v>57</v>
      </c>
      <c r="D29" s="35" t="s">
        <v>58</v>
      </c>
      <c r="E29" s="36" t="s">
        <v>59</v>
      </c>
    </row>
    <row r="30" customFormat="false" ht="27.75" hidden="false" customHeight="true" outlineLevel="0" collapsed="false">
      <c r="A30" s="37"/>
      <c r="B30" s="38" t="s">
        <v>60</v>
      </c>
      <c r="C30" s="13" t="s">
        <v>61</v>
      </c>
      <c r="D30" s="37"/>
      <c r="E30" s="37"/>
    </row>
    <row r="31" customFormat="false" ht="27.75" hidden="false" customHeight="true" outlineLevel="0" collapsed="false">
      <c r="A31" s="37"/>
      <c r="B31" s="33" t="s">
        <v>62</v>
      </c>
      <c r="C31" s="34" t="s">
        <v>63</v>
      </c>
      <c r="D31" s="37"/>
      <c r="E31" s="37"/>
    </row>
    <row r="32" customFormat="false" ht="27.75" hidden="false" customHeight="true" outlineLevel="0" collapsed="false">
      <c r="A32" s="37"/>
      <c r="B32" s="38" t="s">
        <v>64</v>
      </c>
      <c r="C32" s="13" t="s">
        <v>65</v>
      </c>
      <c r="D32" s="37"/>
      <c r="E32" s="37"/>
    </row>
    <row r="33" customFormat="false" ht="27.75" hidden="false" customHeight="true" outlineLevel="0" collapsed="false">
      <c r="A33" s="37"/>
      <c r="B33" s="33" t="s">
        <v>66</v>
      </c>
      <c r="C33" s="34" t="s">
        <v>67</v>
      </c>
      <c r="D33" s="37"/>
      <c r="E33" s="37"/>
    </row>
    <row r="34" customFormat="false" ht="27.75" hidden="false" customHeight="true" outlineLevel="0" collapsed="false">
      <c r="A34" s="37"/>
      <c r="B34" s="38" t="s">
        <v>68</v>
      </c>
      <c r="C34" s="13" t="s">
        <v>69</v>
      </c>
      <c r="D34" s="37"/>
      <c r="E34" s="37"/>
    </row>
    <row r="35" customFormat="false" ht="7.5" hidden="false" customHeight="true" outlineLevel="0" collapsed="false">
      <c r="A35" s="14"/>
      <c r="B35" s="14"/>
      <c r="C35" s="14"/>
      <c r="D35" s="14"/>
      <c r="E35" s="14"/>
    </row>
    <row r="36" customFormat="false" ht="25.5" hidden="false" customHeight="true" outlineLevel="0" collapsed="false">
      <c r="A36" s="39" t="s">
        <v>70</v>
      </c>
      <c r="B36" s="39"/>
      <c r="C36" s="39"/>
      <c r="D36" s="39"/>
      <c r="E36" s="39"/>
    </row>
    <row r="37" customFormat="false" ht="24" hidden="false" customHeight="true" outlineLevel="0" collapsed="false">
      <c r="A37" s="40" t="s">
        <v>71</v>
      </c>
      <c r="B37" s="41" t="s">
        <v>72</v>
      </c>
      <c r="C37" s="41"/>
      <c r="D37" s="41"/>
      <c r="E37" s="41"/>
    </row>
    <row r="38" customFormat="false" ht="24" hidden="false" customHeight="true" outlineLevel="0" collapsed="false">
      <c r="A38" s="42" t="s">
        <v>73</v>
      </c>
      <c r="B38" s="43" t="s">
        <v>74</v>
      </c>
      <c r="C38" s="43"/>
      <c r="D38" s="43"/>
      <c r="E38" s="43"/>
    </row>
    <row r="39" customFormat="false" ht="24" hidden="false" customHeight="true" outlineLevel="0" collapsed="false">
      <c r="A39" s="40" t="s">
        <v>75</v>
      </c>
      <c r="B39" s="41" t="s">
        <v>76</v>
      </c>
      <c r="C39" s="41"/>
      <c r="D39" s="41"/>
      <c r="E39" s="41"/>
    </row>
    <row r="40" customFormat="false" ht="24" hidden="false" customHeight="true" outlineLevel="0" collapsed="false">
      <c r="A40" s="42" t="s">
        <v>77</v>
      </c>
      <c r="B40" s="43" t="s">
        <v>78</v>
      </c>
      <c r="C40" s="43"/>
      <c r="D40" s="43"/>
      <c r="E40" s="43"/>
    </row>
    <row r="41" customFormat="false" ht="24" hidden="false" customHeight="true" outlineLevel="0" collapsed="false">
      <c r="A41" s="40" t="s">
        <v>79</v>
      </c>
      <c r="B41" s="41" t="s">
        <v>80</v>
      </c>
      <c r="C41" s="41"/>
      <c r="D41" s="41"/>
      <c r="E41" s="41"/>
    </row>
    <row r="42" customFormat="false" ht="24" hidden="false" customHeight="true" outlineLevel="0" collapsed="false">
      <c r="A42" s="42" t="s">
        <v>81</v>
      </c>
      <c r="B42" s="43" t="s">
        <v>82</v>
      </c>
      <c r="C42" s="43"/>
      <c r="D42" s="43"/>
      <c r="E42" s="43"/>
    </row>
  </sheetData>
  <mergeCells count="17">
    <mergeCell ref="A1:E1"/>
    <mergeCell ref="A2:E2"/>
    <mergeCell ref="A4:E4"/>
    <mergeCell ref="A11:E11"/>
    <mergeCell ref="A12:E12"/>
    <mergeCell ref="A19:E19"/>
    <mergeCell ref="A20:E20"/>
    <mergeCell ref="A27:E27"/>
    <mergeCell ref="A28:E28"/>
    <mergeCell ref="A35:E35"/>
    <mergeCell ref="A36:E36"/>
    <mergeCell ref="B37:E37"/>
    <mergeCell ref="B38:E38"/>
    <mergeCell ref="B39:E39"/>
    <mergeCell ref="B40:E40"/>
    <mergeCell ref="B41:E41"/>
    <mergeCell ref="B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3" min="3" style="1" width="45"/>
  </cols>
  <sheetData>
    <row r="1" customFormat="false" ht="34.5" hidden="false" customHeight="true" outlineLevel="0" collapsed="false">
      <c r="A1" s="2" t="s">
        <v>83</v>
      </c>
      <c r="B1" s="2"/>
      <c r="C1" s="2"/>
    </row>
    <row r="3" customFormat="false" ht="24" hidden="false" customHeight="true" outlineLevel="0" collapsed="false">
      <c r="A3" s="44" t="s">
        <v>84</v>
      </c>
      <c r="B3" s="44"/>
      <c r="C3" s="44"/>
    </row>
    <row r="4" customFormat="false" ht="36" hidden="false" customHeight="true" outlineLevel="0" collapsed="false">
      <c r="A4" s="45" t="s">
        <v>85</v>
      </c>
      <c r="B4" s="46" t="s">
        <v>86</v>
      </c>
      <c r="C4" s="47" t="s">
        <v>87</v>
      </c>
    </row>
    <row r="5" customFormat="false" ht="36" hidden="false" customHeight="true" outlineLevel="0" collapsed="false">
      <c r="A5" s="48" t="s">
        <v>88</v>
      </c>
      <c r="B5" s="13" t="s">
        <v>89</v>
      </c>
      <c r="C5" s="49" t="s">
        <v>90</v>
      </c>
    </row>
    <row r="6" customFormat="false" ht="36" hidden="false" customHeight="true" outlineLevel="0" collapsed="false">
      <c r="A6" s="45" t="s">
        <v>91</v>
      </c>
      <c r="B6" s="46" t="s">
        <v>92</v>
      </c>
      <c r="C6" s="47" t="s">
        <v>93</v>
      </c>
    </row>
    <row r="7" customFormat="false" ht="24" hidden="false" customHeight="true" outlineLevel="0" collapsed="false">
      <c r="A7" s="50" t="s">
        <v>94</v>
      </c>
      <c r="B7" s="50"/>
      <c r="C7" s="50"/>
    </row>
    <row r="8" customFormat="false" ht="36" hidden="false" customHeight="true" outlineLevel="0" collapsed="false">
      <c r="A8" s="45" t="s">
        <v>95</v>
      </c>
      <c r="B8" s="46" t="s">
        <v>96</v>
      </c>
      <c r="C8" s="47" t="s">
        <v>97</v>
      </c>
    </row>
    <row r="9" customFormat="false" ht="36" hidden="false" customHeight="true" outlineLevel="0" collapsed="false">
      <c r="A9" s="48" t="s">
        <v>98</v>
      </c>
      <c r="B9" s="13" t="s">
        <v>99</v>
      </c>
      <c r="C9" s="49" t="s">
        <v>100</v>
      </c>
    </row>
    <row r="10" customFormat="false" ht="36" hidden="false" customHeight="true" outlineLevel="0" collapsed="false">
      <c r="A10" s="45" t="s">
        <v>101</v>
      </c>
      <c r="B10" s="46" t="s">
        <v>102</v>
      </c>
      <c r="C10" s="47" t="s">
        <v>103</v>
      </c>
    </row>
    <row r="11" customFormat="false" ht="24" hidden="false" customHeight="true" outlineLevel="0" collapsed="false">
      <c r="A11" s="51" t="s">
        <v>104</v>
      </c>
      <c r="B11" s="51"/>
      <c r="C11" s="51"/>
    </row>
    <row r="12" customFormat="false" ht="36" hidden="false" customHeight="true" outlineLevel="0" collapsed="false">
      <c r="A12" s="45" t="s">
        <v>105</v>
      </c>
      <c r="B12" s="46" t="s">
        <v>106</v>
      </c>
      <c r="C12" s="47" t="s">
        <v>107</v>
      </c>
    </row>
    <row r="13" customFormat="false" ht="36" hidden="false" customHeight="true" outlineLevel="0" collapsed="false">
      <c r="A13" s="48" t="s">
        <v>108</v>
      </c>
      <c r="B13" s="13" t="s">
        <v>109</v>
      </c>
      <c r="C13" s="49" t="s">
        <v>110</v>
      </c>
    </row>
    <row r="14" customFormat="false" ht="36" hidden="false" customHeight="true" outlineLevel="0" collapsed="false">
      <c r="A14" s="45" t="s">
        <v>111</v>
      </c>
      <c r="B14" s="46" t="s">
        <v>112</v>
      </c>
      <c r="C14" s="47" t="s">
        <v>113</v>
      </c>
    </row>
    <row r="15" customFormat="false" ht="36" hidden="false" customHeight="true" outlineLevel="0" collapsed="false">
      <c r="A15" s="48" t="s">
        <v>114</v>
      </c>
      <c r="B15" s="13" t="s">
        <v>115</v>
      </c>
      <c r="C15" s="49" t="s">
        <v>116</v>
      </c>
    </row>
    <row r="16" customFormat="false" ht="36" hidden="false" customHeight="true" outlineLevel="0" collapsed="false">
      <c r="A16" s="45" t="s">
        <v>117</v>
      </c>
      <c r="B16" s="46" t="s">
        <v>118</v>
      </c>
      <c r="C16" s="47" t="s">
        <v>119</v>
      </c>
    </row>
    <row r="17" customFormat="false" ht="36" hidden="false" customHeight="true" outlineLevel="0" collapsed="false">
      <c r="A17" s="48" t="s">
        <v>120</v>
      </c>
      <c r="B17" s="13" t="s">
        <v>121</v>
      </c>
      <c r="C17" s="49" t="s">
        <v>122</v>
      </c>
    </row>
    <row r="18" customFormat="false" ht="36" hidden="false" customHeight="true" outlineLevel="0" collapsed="false">
      <c r="A18" s="45" t="s">
        <v>123</v>
      </c>
      <c r="B18" s="46" t="s">
        <v>124</v>
      </c>
      <c r="C18" s="47" t="s">
        <v>125</v>
      </c>
    </row>
    <row r="19" customFormat="false" ht="24" hidden="false" customHeight="true" outlineLevel="0" collapsed="false">
      <c r="A19" s="52" t="s">
        <v>126</v>
      </c>
      <c r="B19" s="52"/>
      <c r="C19" s="52"/>
    </row>
    <row r="20" customFormat="false" ht="36" hidden="false" customHeight="true" outlineLevel="0" collapsed="false">
      <c r="A20" s="45" t="s">
        <v>127</v>
      </c>
      <c r="B20" s="46" t="s">
        <v>128</v>
      </c>
      <c r="C20" s="47" t="s">
        <v>129</v>
      </c>
    </row>
    <row r="21" customFormat="false" ht="36" hidden="false" customHeight="true" outlineLevel="0" collapsed="false">
      <c r="A21" s="48" t="s">
        <v>130</v>
      </c>
      <c r="B21" s="13" t="s">
        <v>131</v>
      </c>
      <c r="C21" s="49" t="s">
        <v>132</v>
      </c>
    </row>
    <row r="22" customFormat="false" ht="36" hidden="false" customHeight="true" outlineLevel="0" collapsed="false">
      <c r="A22" s="45" t="s">
        <v>133</v>
      </c>
      <c r="B22" s="46" t="s">
        <v>134</v>
      </c>
      <c r="C22" s="47" t="s">
        <v>135</v>
      </c>
    </row>
    <row r="23" customFormat="false" ht="36" hidden="false" customHeight="true" outlineLevel="0" collapsed="false">
      <c r="A23" s="48" t="s">
        <v>136</v>
      </c>
      <c r="B23" s="13" t="s">
        <v>137</v>
      </c>
      <c r="C23" s="49" t="s">
        <v>138</v>
      </c>
    </row>
    <row r="24" customFormat="false" ht="36" hidden="false" customHeight="true" outlineLevel="0" collapsed="false">
      <c r="A24" s="45" t="s">
        <v>139</v>
      </c>
      <c r="B24" s="46" t="s">
        <v>140</v>
      </c>
      <c r="C24" s="47" t="s">
        <v>141</v>
      </c>
    </row>
    <row r="25" customFormat="false" ht="36" hidden="false" customHeight="true" outlineLevel="0" collapsed="false">
      <c r="A25" s="48" t="s">
        <v>142</v>
      </c>
      <c r="B25" s="13" t="s">
        <v>143</v>
      </c>
      <c r="C25" s="49" t="s">
        <v>144</v>
      </c>
    </row>
    <row r="26" customFormat="false" ht="36" hidden="false" customHeight="true" outlineLevel="0" collapsed="false">
      <c r="A26" s="45" t="s">
        <v>145</v>
      </c>
      <c r="B26" s="46" t="s">
        <v>146</v>
      </c>
      <c r="C26" s="47" t="s">
        <v>147</v>
      </c>
    </row>
    <row r="27" customFormat="false" ht="36" hidden="false" customHeight="true" outlineLevel="0" collapsed="false">
      <c r="A27" s="48" t="s">
        <v>148</v>
      </c>
      <c r="B27" s="13" t="s">
        <v>149</v>
      </c>
      <c r="C27" s="49" t="s">
        <v>150</v>
      </c>
    </row>
  </sheetData>
  <mergeCells count="5">
    <mergeCell ref="A1:C1"/>
    <mergeCell ref="A3:C3"/>
    <mergeCell ref="A7:C7"/>
    <mergeCell ref="A11:C11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9"/>
    <col collapsed="false" customWidth="true" hidden="false" outlineLevel="0" max="4" min="3" style="1" width="14"/>
    <col collapsed="false" customWidth="true" hidden="false" outlineLevel="0" max="7" min="5" style="1" width="8"/>
    <col collapsed="false" customWidth="true" hidden="false" outlineLevel="0" max="8" min="8" style="1" width="10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2" min="11" style="1" width="11"/>
    <col collapsed="false" customWidth="true" hidden="false" outlineLevel="0" max="20" min="13" style="1" width="10"/>
    <col collapsed="false" customWidth="true" hidden="false" outlineLevel="0" max="21" min="21" style="1" width="12"/>
    <col collapsed="false" customWidth="true" hidden="false" outlineLevel="0" max="22" min="22" style="1" width="10"/>
    <col collapsed="false" customWidth="true" hidden="false" outlineLevel="0" max="23" min="23" style="1" width="30"/>
  </cols>
  <sheetData>
    <row r="1" customFormat="false" ht="30" hidden="false" customHeight="true" outlineLevel="0" collapsed="false">
      <c r="A1" s="53" t="s">
        <v>151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</row>
    <row r="2" customFormat="false" ht="18" hidden="false" customHeight="true" outlineLevel="0" collapsed="false">
      <c r="A2" s="54" t="s">
        <v>152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</row>
    <row r="3" customFormat="false" ht="19.5" hidden="false" customHeight="true" outlineLevel="0" collapsed="false">
      <c r="A3" s="55" t="s">
        <v>153</v>
      </c>
      <c r="B3" s="55"/>
      <c r="C3" s="55"/>
      <c r="D3" s="55"/>
      <c r="E3" s="56" t="s">
        <v>154</v>
      </c>
      <c r="F3" s="56"/>
      <c r="G3" s="56"/>
      <c r="H3" s="56"/>
      <c r="I3" s="57" t="s">
        <v>155</v>
      </c>
      <c r="J3" s="57"/>
      <c r="K3" s="57"/>
      <c r="L3" s="57"/>
      <c r="M3" s="58" t="s">
        <v>156</v>
      </c>
      <c r="N3" s="58"/>
      <c r="O3" s="58"/>
      <c r="P3" s="58"/>
      <c r="Q3" s="58"/>
      <c r="R3" s="59" t="s">
        <v>157</v>
      </c>
      <c r="S3" s="59"/>
      <c r="T3" s="59"/>
      <c r="U3" s="59"/>
      <c r="V3" s="60" t="s">
        <v>158</v>
      </c>
      <c r="W3" s="60"/>
    </row>
    <row r="4" customFormat="false" ht="36" hidden="false" customHeight="true" outlineLevel="0" collapsed="false">
      <c r="A4" s="61" t="s">
        <v>159</v>
      </c>
      <c r="B4" s="61" t="s">
        <v>160</v>
      </c>
      <c r="C4" s="61" t="s">
        <v>161</v>
      </c>
      <c r="D4" s="61" t="s">
        <v>162</v>
      </c>
      <c r="E4" s="62" t="s">
        <v>163</v>
      </c>
      <c r="F4" s="62" t="s">
        <v>164</v>
      </c>
      <c r="G4" s="62" t="s">
        <v>165</v>
      </c>
      <c r="H4" s="62" t="s">
        <v>166</v>
      </c>
      <c r="I4" s="63" t="s">
        <v>167</v>
      </c>
      <c r="J4" s="63" t="s">
        <v>168</v>
      </c>
      <c r="K4" s="63" t="s">
        <v>169</v>
      </c>
      <c r="L4" s="63" t="s">
        <v>170</v>
      </c>
      <c r="M4" s="64" t="s">
        <v>171</v>
      </c>
      <c r="N4" s="64" t="s">
        <v>172</v>
      </c>
      <c r="O4" s="64" t="s">
        <v>173</v>
      </c>
      <c r="P4" s="64" t="s">
        <v>174</v>
      </c>
      <c r="Q4" s="64" t="s">
        <v>175</v>
      </c>
      <c r="R4" s="65" t="s">
        <v>176</v>
      </c>
      <c r="S4" s="65" t="s">
        <v>177</v>
      </c>
      <c r="T4" s="65" t="s">
        <v>178</v>
      </c>
      <c r="U4" s="65" t="s">
        <v>179</v>
      </c>
      <c r="V4" s="66" t="s">
        <v>180</v>
      </c>
      <c r="W4" s="66" t="s">
        <v>181</v>
      </c>
    </row>
    <row r="5" customFormat="false" ht="19.5" hidden="false" customHeight="true" outlineLevel="0" collapsed="false">
      <c r="A5" s="67"/>
      <c r="B5" s="68"/>
      <c r="C5" s="68"/>
      <c r="D5" s="68"/>
      <c r="E5" s="68"/>
      <c r="F5" s="68"/>
      <c r="G5" s="68"/>
      <c r="H5" s="68"/>
      <c r="I5" s="69"/>
      <c r="J5" s="70" t="str">
        <f aca="false">IF(I5&lt;&gt;"",I5*0.95,"")</f>
        <v/>
      </c>
      <c r="K5" s="71" t="str">
        <f aca="false">IF(I5&lt;&gt;"",I5*1.08,"")</f>
        <v/>
      </c>
      <c r="L5" s="72" t="str">
        <f aca="false">IF(I5&lt;&gt;"",I5*1.12,"")</f>
        <v/>
      </c>
      <c r="M5" s="69"/>
      <c r="O5" s="69"/>
      <c r="R5" s="73" t="str">
        <f aca="false">IF(AND(I5&lt;&gt;"",O5&lt;&gt;""),( O5-I5)/I5,"")</f>
        <v/>
      </c>
      <c r="S5" s="74"/>
      <c r="T5" s="75" t="str">
        <f aca="false">IF(AND(R5&lt;&gt;"",S5&lt;&gt;""),R5-S5,"")</f>
        <v/>
      </c>
      <c r="U5" s="68"/>
      <c r="V5" s="76" t="str">
        <f aca="true">IF(A5&lt;&gt;"",TODAY()-A5,"")</f>
        <v/>
      </c>
      <c r="W5" s="68"/>
    </row>
    <row r="6" customFormat="false" ht="19.5" hidden="false" customHeight="true" outlineLevel="0" collapsed="false">
      <c r="A6" s="77"/>
      <c r="B6" s="78"/>
      <c r="C6" s="78"/>
      <c r="D6" s="78"/>
      <c r="E6" s="78"/>
      <c r="F6" s="78"/>
      <c r="G6" s="78"/>
      <c r="H6" s="78"/>
      <c r="I6" s="79"/>
      <c r="J6" s="80" t="str">
        <f aca="false">IF(I6&lt;&gt;"",I6*0.95,"")</f>
        <v/>
      </c>
      <c r="K6" s="81" t="str">
        <f aca="false">IF(I6&lt;&gt;"",I6*1.08,"")</f>
        <v/>
      </c>
      <c r="L6" s="82" t="str">
        <f aca="false">IF(I6&lt;&gt;"",I6*1.12,"")</f>
        <v/>
      </c>
      <c r="M6" s="79"/>
      <c r="O6" s="79"/>
      <c r="R6" s="83" t="str">
        <f aca="false">IF(AND(I6&lt;&gt;"",O6&lt;&gt;""),( O6-I6)/I6,"")</f>
        <v/>
      </c>
      <c r="S6" s="84"/>
      <c r="T6" s="85" t="str">
        <f aca="false">IF(AND(R6&lt;&gt;"",S6&lt;&gt;""),R6-S6,"")</f>
        <v/>
      </c>
      <c r="U6" s="78"/>
      <c r="V6" s="86" t="str">
        <f aca="true">IF(A6&lt;&gt;"",TODAY()-A6,"")</f>
        <v/>
      </c>
      <c r="W6" s="78"/>
    </row>
    <row r="7" customFormat="false" ht="19.5" hidden="false" customHeight="true" outlineLevel="0" collapsed="false">
      <c r="A7" s="67"/>
      <c r="B7" s="68"/>
      <c r="C7" s="68"/>
      <c r="D7" s="68"/>
      <c r="E7" s="68"/>
      <c r="F7" s="68"/>
      <c r="G7" s="68"/>
      <c r="H7" s="68"/>
      <c r="I7" s="69"/>
      <c r="J7" s="70" t="str">
        <f aca="false">IF(I7&lt;&gt;"",I7*0.95,"")</f>
        <v/>
      </c>
      <c r="K7" s="71" t="str">
        <f aca="false">IF(I7&lt;&gt;"",I7*1.08,"")</f>
        <v/>
      </c>
      <c r="L7" s="72" t="str">
        <f aca="false">IF(I7&lt;&gt;"",I7*1.12,"")</f>
        <v/>
      </c>
      <c r="M7" s="69"/>
      <c r="O7" s="69"/>
      <c r="R7" s="73" t="str">
        <f aca="false">IF(AND(I7&lt;&gt;"",O7&lt;&gt;""),( O7-I7)/I7,"")</f>
        <v/>
      </c>
      <c r="S7" s="74"/>
      <c r="T7" s="75" t="str">
        <f aca="false">IF(AND(R7&lt;&gt;"",S7&lt;&gt;""),R7-S7,"")</f>
        <v/>
      </c>
      <c r="U7" s="68"/>
      <c r="V7" s="76" t="str">
        <f aca="true">IF(A7&lt;&gt;"",TODAY()-A7,"")</f>
        <v/>
      </c>
      <c r="W7" s="68"/>
    </row>
    <row r="8" customFormat="false" ht="19.5" hidden="false" customHeight="true" outlineLevel="0" collapsed="false">
      <c r="A8" s="77"/>
      <c r="B8" s="78"/>
      <c r="C8" s="78"/>
      <c r="D8" s="78"/>
      <c r="E8" s="78"/>
      <c r="F8" s="78"/>
      <c r="G8" s="78"/>
      <c r="H8" s="78"/>
      <c r="I8" s="79"/>
      <c r="J8" s="80" t="str">
        <f aca="false">IF(I8&lt;&gt;"",I8*0.95,"")</f>
        <v/>
      </c>
      <c r="K8" s="81" t="str">
        <f aca="false">IF(I8&lt;&gt;"",I8*1.08,"")</f>
        <v/>
      </c>
      <c r="L8" s="82" t="str">
        <f aca="false">IF(I8&lt;&gt;"",I8*1.12,"")</f>
        <v/>
      </c>
      <c r="M8" s="79"/>
      <c r="O8" s="79"/>
      <c r="R8" s="83" t="str">
        <f aca="false">IF(AND(I8&lt;&gt;"",O8&lt;&gt;""),( O8-I8)/I8,"")</f>
        <v/>
      </c>
      <c r="S8" s="84"/>
      <c r="T8" s="85" t="str">
        <f aca="false">IF(AND(R8&lt;&gt;"",S8&lt;&gt;""),R8-S8,"")</f>
        <v/>
      </c>
      <c r="U8" s="78"/>
      <c r="V8" s="86" t="str">
        <f aca="true">IF(A8&lt;&gt;"",TODAY()-A8,"")</f>
        <v/>
      </c>
      <c r="W8" s="78"/>
    </row>
    <row r="9" customFormat="false" ht="19.5" hidden="false" customHeight="true" outlineLevel="0" collapsed="false">
      <c r="A9" s="67"/>
      <c r="B9" s="68"/>
      <c r="C9" s="68"/>
      <c r="D9" s="68"/>
      <c r="E9" s="68"/>
      <c r="F9" s="68"/>
      <c r="G9" s="68"/>
      <c r="H9" s="68"/>
      <c r="I9" s="69"/>
      <c r="J9" s="70" t="str">
        <f aca="false">IF(I9&lt;&gt;"",I9*0.95,"")</f>
        <v/>
      </c>
      <c r="K9" s="71" t="str">
        <f aca="false">IF(I9&lt;&gt;"",I9*1.08,"")</f>
        <v/>
      </c>
      <c r="L9" s="72" t="str">
        <f aca="false">IF(I9&lt;&gt;"",I9*1.12,"")</f>
        <v/>
      </c>
      <c r="M9" s="69"/>
      <c r="O9" s="69"/>
      <c r="R9" s="73" t="str">
        <f aca="false">IF(AND(I9&lt;&gt;"",O9&lt;&gt;""),( O9-I9)/I9,"")</f>
        <v/>
      </c>
      <c r="S9" s="74"/>
      <c r="T9" s="75" t="str">
        <f aca="false">IF(AND(R9&lt;&gt;"",S9&lt;&gt;""),R9-S9,"")</f>
        <v/>
      </c>
      <c r="U9" s="68"/>
      <c r="V9" s="76" t="str">
        <f aca="true">IF(A9&lt;&gt;"",TODAY()-A9,"")</f>
        <v/>
      </c>
      <c r="W9" s="68"/>
    </row>
    <row r="10" customFormat="false" ht="19.5" hidden="false" customHeight="true" outlineLevel="0" collapsed="false">
      <c r="A10" s="77"/>
      <c r="B10" s="78"/>
      <c r="C10" s="78"/>
      <c r="D10" s="78"/>
      <c r="E10" s="78"/>
      <c r="F10" s="78"/>
      <c r="G10" s="78"/>
      <c r="H10" s="78"/>
      <c r="I10" s="79"/>
      <c r="J10" s="80" t="str">
        <f aca="false">IF(I10&lt;&gt;"",I10*0.95,"")</f>
        <v/>
      </c>
      <c r="K10" s="81" t="str">
        <f aca="false">IF(I10&lt;&gt;"",I10*1.08,"")</f>
        <v/>
      </c>
      <c r="L10" s="82" t="str">
        <f aca="false">IF(I10&lt;&gt;"",I10*1.12,"")</f>
        <v/>
      </c>
      <c r="M10" s="79"/>
      <c r="O10" s="79"/>
      <c r="R10" s="83" t="str">
        <f aca="false">IF(AND(I10&lt;&gt;"",O10&lt;&gt;""),( O10-I10)/I10,"")</f>
        <v/>
      </c>
      <c r="S10" s="84"/>
      <c r="T10" s="85" t="str">
        <f aca="false">IF(AND(R10&lt;&gt;"",S10&lt;&gt;""),R10-S10,"")</f>
        <v/>
      </c>
      <c r="U10" s="78"/>
      <c r="V10" s="86" t="str">
        <f aca="true">IF(A10&lt;&gt;"",TODAY()-A10,"")</f>
        <v/>
      </c>
      <c r="W10" s="78"/>
    </row>
    <row r="11" customFormat="false" ht="19.5" hidden="false" customHeight="true" outlineLevel="0" collapsed="false">
      <c r="A11" s="67"/>
      <c r="B11" s="68"/>
      <c r="C11" s="68"/>
      <c r="D11" s="68"/>
      <c r="E11" s="68"/>
      <c r="F11" s="68"/>
      <c r="G11" s="68"/>
      <c r="H11" s="68"/>
      <c r="I11" s="69"/>
      <c r="J11" s="70" t="str">
        <f aca="false">IF(I11&lt;&gt;"",I11*0.95,"")</f>
        <v/>
      </c>
      <c r="K11" s="71" t="str">
        <f aca="false">IF(I11&lt;&gt;"",I11*1.08,"")</f>
        <v/>
      </c>
      <c r="L11" s="72" t="str">
        <f aca="false">IF(I11&lt;&gt;"",I11*1.12,"")</f>
        <v/>
      </c>
      <c r="M11" s="69"/>
      <c r="O11" s="69"/>
      <c r="R11" s="73" t="str">
        <f aca="false">IF(AND(I11&lt;&gt;"",O11&lt;&gt;""),( O11-I11)/I11,"")</f>
        <v/>
      </c>
      <c r="S11" s="74"/>
      <c r="T11" s="75" t="str">
        <f aca="false">IF(AND(R11&lt;&gt;"",S11&lt;&gt;""),R11-S11,"")</f>
        <v/>
      </c>
      <c r="U11" s="68"/>
      <c r="V11" s="76" t="str">
        <f aca="true">IF(A11&lt;&gt;"",TODAY()-A11,"")</f>
        <v/>
      </c>
      <c r="W11" s="68"/>
    </row>
    <row r="12" customFormat="false" ht="19.5" hidden="false" customHeight="true" outlineLevel="0" collapsed="false">
      <c r="A12" s="77"/>
      <c r="B12" s="78"/>
      <c r="C12" s="78"/>
      <c r="D12" s="78"/>
      <c r="E12" s="78"/>
      <c r="F12" s="78"/>
      <c r="G12" s="78"/>
      <c r="H12" s="78"/>
      <c r="I12" s="79"/>
      <c r="J12" s="80" t="str">
        <f aca="false">IF(I12&lt;&gt;"",I12*0.95,"")</f>
        <v/>
      </c>
      <c r="K12" s="81" t="str">
        <f aca="false">IF(I12&lt;&gt;"",I12*1.08,"")</f>
        <v/>
      </c>
      <c r="L12" s="82" t="str">
        <f aca="false">IF(I12&lt;&gt;"",I12*1.12,"")</f>
        <v/>
      </c>
      <c r="M12" s="79"/>
      <c r="O12" s="79"/>
      <c r="R12" s="83" t="str">
        <f aca="false">IF(AND(I12&lt;&gt;"",O12&lt;&gt;""),( O12-I12)/I12,"")</f>
        <v/>
      </c>
      <c r="S12" s="84"/>
      <c r="T12" s="85" t="str">
        <f aca="false">IF(AND(R12&lt;&gt;"",S12&lt;&gt;""),R12-S12,"")</f>
        <v/>
      </c>
      <c r="U12" s="78"/>
      <c r="V12" s="86" t="str">
        <f aca="true">IF(A12&lt;&gt;"",TODAY()-A12,"")</f>
        <v/>
      </c>
      <c r="W12" s="78"/>
    </row>
    <row r="13" customFormat="false" ht="19.5" hidden="false" customHeight="true" outlineLevel="0" collapsed="false">
      <c r="A13" s="67"/>
      <c r="B13" s="68"/>
      <c r="C13" s="68"/>
      <c r="D13" s="68"/>
      <c r="E13" s="68"/>
      <c r="F13" s="68"/>
      <c r="G13" s="68"/>
      <c r="H13" s="68"/>
      <c r="I13" s="69"/>
      <c r="J13" s="70" t="str">
        <f aca="false">IF(I13&lt;&gt;"",I13*0.95,"")</f>
        <v/>
      </c>
      <c r="K13" s="71" t="str">
        <f aca="false">IF(I13&lt;&gt;"",I13*1.08,"")</f>
        <v/>
      </c>
      <c r="L13" s="72" t="str">
        <f aca="false">IF(I13&lt;&gt;"",I13*1.12,"")</f>
        <v/>
      </c>
      <c r="M13" s="69"/>
      <c r="O13" s="69"/>
      <c r="R13" s="73" t="str">
        <f aca="false">IF(AND(I13&lt;&gt;"",O13&lt;&gt;""),( O13-I13)/I13,"")</f>
        <v/>
      </c>
      <c r="S13" s="74"/>
      <c r="T13" s="75" t="str">
        <f aca="false">IF(AND(R13&lt;&gt;"",S13&lt;&gt;""),R13-S13,"")</f>
        <v/>
      </c>
      <c r="U13" s="68"/>
      <c r="V13" s="76" t="str">
        <f aca="true">IF(A13&lt;&gt;"",TODAY()-A13,"")</f>
        <v/>
      </c>
      <c r="W13" s="68"/>
    </row>
    <row r="14" customFormat="false" ht="19.5" hidden="false" customHeight="true" outlineLevel="0" collapsed="false">
      <c r="A14" s="77"/>
      <c r="B14" s="78"/>
      <c r="C14" s="78"/>
      <c r="D14" s="78"/>
      <c r="E14" s="78"/>
      <c r="F14" s="78"/>
      <c r="G14" s="78"/>
      <c r="H14" s="78"/>
      <c r="I14" s="79"/>
      <c r="J14" s="80" t="str">
        <f aca="false">IF(I14&lt;&gt;"",I14*0.95,"")</f>
        <v/>
      </c>
      <c r="K14" s="81" t="str">
        <f aca="false">IF(I14&lt;&gt;"",I14*1.08,"")</f>
        <v/>
      </c>
      <c r="L14" s="82" t="str">
        <f aca="false">IF(I14&lt;&gt;"",I14*1.12,"")</f>
        <v/>
      </c>
      <c r="M14" s="79"/>
      <c r="O14" s="79"/>
      <c r="R14" s="83" t="str">
        <f aca="false">IF(AND(I14&lt;&gt;"",O14&lt;&gt;""),( O14-I14)/I14,"")</f>
        <v/>
      </c>
      <c r="S14" s="84"/>
      <c r="T14" s="85" t="str">
        <f aca="false">IF(AND(R14&lt;&gt;"",S14&lt;&gt;""),R14-S14,"")</f>
        <v/>
      </c>
      <c r="U14" s="78"/>
      <c r="V14" s="86" t="str">
        <f aca="true">IF(A14&lt;&gt;"",TODAY()-A14,"")</f>
        <v/>
      </c>
      <c r="W14" s="78"/>
    </row>
    <row r="15" customFormat="false" ht="19.5" hidden="false" customHeight="true" outlineLevel="0" collapsed="false">
      <c r="A15" s="67"/>
      <c r="B15" s="68"/>
      <c r="C15" s="68"/>
      <c r="D15" s="68"/>
      <c r="E15" s="68"/>
      <c r="F15" s="68"/>
      <c r="G15" s="68"/>
      <c r="H15" s="68"/>
      <c r="I15" s="69"/>
      <c r="J15" s="70" t="str">
        <f aca="false">IF(I15&lt;&gt;"",I15*0.95,"")</f>
        <v/>
      </c>
      <c r="K15" s="71" t="str">
        <f aca="false">IF(I15&lt;&gt;"",I15*1.08,"")</f>
        <v/>
      </c>
      <c r="L15" s="72" t="str">
        <f aca="false">IF(I15&lt;&gt;"",I15*1.12,"")</f>
        <v/>
      </c>
      <c r="M15" s="69"/>
      <c r="O15" s="69"/>
      <c r="R15" s="73" t="str">
        <f aca="false">IF(AND(I15&lt;&gt;"",O15&lt;&gt;""),( O15-I15)/I15,"")</f>
        <v/>
      </c>
      <c r="S15" s="74"/>
      <c r="T15" s="75" t="str">
        <f aca="false">IF(AND(R15&lt;&gt;"",S15&lt;&gt;""),R15-S15,"")</f>
        <v/>
      </c>
      <c r="U15" s="68"/>
      <c r="V15" s="76" t="str">
        <f aca="true">IF(A15&lt;&gt;"",TODAY()-A15,"")</f>
        <v/>
      </c>
      <c r="W15" s="68"/>
    </row>
    <row r="16" customFormat="false" ht="19.5" hidden="false" customHeight="true" outlineLevel="0" collapsed="false">
      <c r="A16" s="77"/>
      <c r="B16" s="78"/>
      <c r="C16" s="78"/>
      <c r="D16" s="78"/>
      <c r="E16" s="78"/>
      <c r="F16" s="78"/>
      <c r="G16" s="78"/>
      <c r="H16" s="78"/>
      <c r="I16" s="79"/>
      <c r="J16" s="80" t="str">
        <f aca="false">IF(I16&lt;&gt;"",I16*0.95,"")</f>
        <v/>
      </c>
      <c r="K16" s="81" t="str">
        <f aca="false">IF(I16&lt;&gt;"",I16*1.08,"")</f>
        <v/>
      </c>
      <c r="L16" s="82" t="str">
        <f aca="false">IF(I16&lt;&gt;"",I16*1.12,"")</f>
        <v/>
      </c>
      <c r="M16" s="79"/>
      <c r="O16" s="79"/>
      <c r="R16" s="83" t="str">
        <f aca="false">IF(AND(I16&lt;&gt;"",O16&lt;&gt;""),( O16-I16)/I16,"")</f>
        <v/>
      </c>
      <c r="S16" s="84"/>
      <c r="T16" s="85" t="str">
        <f aca="false">IF(AND(R16&lt;&gt;"",S16&lt;&gt;""),R16-S16,"")</f>
        <v/>
      </c>
      <c r="U16" s="78"/>
      <c r="V16" s="86" t="str">
        <f aca="true">IF(A16&lt;&gt;"",TODAY()-A16,"")</f>
        <v/>
      </c>
      <c r="W16" s="78"/>
    </row>
    <row r="17" customFormat="false" ht="19.5" hidden="false" customHeight="true" outlineLevel="0" collapsed="false">
      <c r="A17" s="67"/>
      <c r="B17" s="68"/>
      <c r="C17" s="68"/>
      <c r="D17" s="68"/>
      <c r="E17" s="68"/>
      <c r="F17" s="68"/>
      <c r="G17" s="68"/>
      <c r="H17" s="68"/>
      <c r="I17" s="69"/>
      <c r="J17" s="70" t="str">
        <f aca="false">IF(I17&lt;&gt;"",I17*0.95,"")</f>
        <v/>
      </c>
      <c r="K17" s="71" t="str">
        <f aca="false">IF(I17&lt;&gt;"",I17*1.08,"")</f>
        <v/>
      </c>
      <c r="L17" s="72" t="str">
        <f aca="false">IF(I17&lt;&gt;"",I17*1.12,"")</f>
        <v/>
      </c>
      <c r="M17" s="69"/>
      <c r="O17" s="69"/>
      <c r="R17" s="73" t="str">
        <f aca="false">IF(AND(I17&lt;&gt;"",O17&lt;&gt;""),( O17-I17)/I17,"")</f>
        <v/>
      </c>
      <c r="S17" s="74"/>
      <c r="T17" s="75" t="str">
        <f aca="false">IF(AND(R17&lt;&gt;"",S17&lt;&gt;""),R17-S17,"")</f>
        <v/>
      </c>
      <c r="U17" s="68"/>
      <c r="V17" s="76" t="str">
        <f aca="true">IF(A17&lt;&gt;"",TODAY()-A17,"")</f>
        <v/>
      </c>
      <c r="W17" s="68"/>
    </row>
    <row r="18" customFormat="false" ht="19.5" hidden="false" customHeight="true" outlineLevel="0" collapsed="false">
      <c r="A18" s="77"/>
      <c r="B18" s="78"/>
      <c r="C18" s="78"/>
      <c r="D18" s="78"/>
      <c r="E18" s="78"/>
      <c r="F18" s="78"/>
      <c r="G18" s="78"/>
      <c r="H18" s="78"/>
      <c r="I18" s="79"/>
      <c r="J18" s="80" t="str">
        <f aca="false">IF(I18&lt;&gt;"",I18*0.95,"")</f>
        <v/>
      </c>
      <c r="K18" s="81" t="str">
        <f aca="false">IF(I18&lt;&gt;"",I18*1.08,"")</f>
        <v/>
      </c>
      <c r="L18" s="82" t="str">
        <f aca="false">IF(I18&lt;&gt;"",I18*1.12,"")</f>
        <v/>
      </c>
      <c r="M18" s="79"/>
      <c r="O18" s="79"/>
      <c r="R18" s="83" t="str">
        <f aca="false">IF(AND(I18&lt;&gt;"",O18&lt;&gt;""),( O18-I18)/I18,"")</f>
        <v/>
      </c>
      <c r="S18" s="84"/>
      <c r="T18" s="85" t="str">
        <f aca="false">IF(AND(R18&lt;&gt;"",S18&lt;&gt;""),R18-S18,"")</f>
        <v/>
      </c>
      <c r="U18" s="78"/>
      <c r="V18" s="86" t="str">
        <f aca="true">IF(A18&lt;&gt;"",TODAY()-A18,"")</f>
        <v/>
      </c>
      <c r="W18" s="78"/>
    </row>
    <row r="19" customFormat="false" ht="19.5" hidden="false" customHeight="true" outlineLevel="0" collapsed="false">
      <c r="A19" s="67"/>
      <c r="B19" s="68"/>
      <c r="C19" s="68"/>
      <c r="D19" s="68"/>
      <c r="E19" s="68"/>
      <c r="F19" s="68"/>
      <c r="G19" s="68"/>
      <c r="H19" s="68"/>
      <c r="I19" s="69"/>
      <c r="J19" s="70" t="str">
        <f aca="false">IF(I19&lt;&gt;"",I19*0.95,"")</f>
        <v/>
      </c>
      <c r="K19" s="71" t="str">
        <f aca="false">IF(I19&lt;&gt;"",I19*1.08,"")</f>
        <v/>
      </c>
      <c r="L19" s="72" t="str">
        <f aca="false">IF(I19&lt;&gt;"",I19*1.12,"")</f>
        <v/>
      </c>
      <c r="M19" s="69"/>
      <c r="O19" s="69"/>
      <c r="R19" s="73" t="str">
        <f aca="false">IF(AND(I19&lt;&gt;"",O19&lt;&gt;""),( O19-I19)/I19,"")</f>
        <v/>
      </c>
      <c r="S19" s="74"/>
      <c r="T19" s="75" t="str">
        <f aca="false">IF(AND(R19&lt;&gt;"",S19&lt;&gt;""),R19-S19,"")</f>
        <v/>
      </c>
      <c r="U19" s="68"/>
      <c r="V19" s="76" t="str">
        <f aca="true">IF(A19&lt;&gt;"",TODAY()-A19,"")</f>
        <v/>
      </c>
      <c r="W19" s="68"/>
    </row>
    <row r="20" customFormat="false" ht="19.5" hidden="false" customHeight="true" outlineLevel="0" collapsed="false">
      <c r="A20" s="77"/>
      <c r="B20" s="78"/>
      <c r="C20" s="78"/>
      <c r="D20" s="78"/>
      <c r="E20" s="78"/>
      <c r="F20" s="78"/>
      <c r="G20" s="78"/>
      <c r="H20" s="78"/>
      <c r="I20" s="79"/>
      <c r="J20" s="80" t="str">
        <f aca="false">IF(I20&lt;&gt;"",I20*0.95,"")</f>
        <v/>
      </c>
      <c r="K20" s="81" t="str">
        <f aca="false">IF(I20&lt;&gt;"",I20*1.08,"")</f>
        <v/>
      </c>
      <c r="L20" s="82" t="str">
        <f aca="false">IF(I20&lt;&gt;"",I20*1.12,"")</f>
        <v/>
      </c>
      <c r="M20" s="79"/>
      <c r="O20" s="79"/>
      <c r="R20" s="83" t="str">
        <f aca="false">IF(AND(I20&lt;&gt;"",O20&lt;&gt;""),( O20-I20)/I20,"")</f>
        <v/>
      </c>
      <c r="S20" s="84"/>
      <c r="T20" s="85" t="str">
        <f aca="false">IF(AND(R20&lt;&gt;"",S20&lt;&gt;""),R20-S20,"")</f>
        <v/>
      </c>
      <c r="U20" s="78"/>
      <c r="V20" s="86" t="str">
        <f aca="true">IF(A20&lt;&gt;"",TODAY()-A20,"")</f>
        <v/>
      </c>
      <c r="W20" s="78"/>
    </row>
    <row r="21" customFormat="false" ht="19.5" hidden="false" customHeight="true" outlineLevel="0" collapsed="false">
      <c r="A21" s="67"/>
      <c r="B21" s="68"/>
      <c r="C21" s="68"/>
      <c r="D21" s="68"/>
      <c r="E21" s="68"/>
      <c r="F21" s="68"/>
      <c r="G21" s="68"/>
      <c r="H21" s="68"/>
      <c r="I21" s="69"/>
      <c r="J21" s="70" t="str">
        <f aca="false">IF(I21&lt;&gt;"",I21*0.95,"")</f>
        <v/>
      </c>
      <c r="K21" s="71" t="str">
        <f aca="false">IF(I21&lt;&gt;"",I21*1.08,"")</f>
        <v/>
      </c>
      <c r="L21" s="72" t="str">
        <f aca="false">IF(I21&lt;&gt;"",I21*1.12,"")</f>
        <v/>
      </c>
      <c r="M21" s="69"/>
      <c r="O21" s="69"/>
      <c r="R21" s="73" t="str">
        <f aca="false">IF(AND(I21&lt;&gt;"",O21&lt;&gt;""),( O21-I21)/I21,"")</f>
        <v/>
      </c>
      <c r="S21" s="74"/>
      <c r="T21" s="75" t="str">
        <f aca="false">IF(AND(R21&lt;&gt;"",S21&lt;&gt;""),R21-S21,"")</f>
        <v/>
      </c>
      <c r="U21" s="68"/>
      <c r="V21" s="76" t="str">
        <f aca="true">IF(A21&lt;&gt;"",TODAY()-A21,"")</f>
        <v/>
      </c>
      <c r="W21" s="68"/>
    </row>
    <row r="22" customFormat="false" ht="19.5" hidden="false" customHeight="true" outlineLevel="0" collapsed="false">
      <c r="A22" s="77"/>
      <c r="B22" s="78"/>
      <c r="C22" s="78"/>
      <c r="D22" s="78"/>
      <c r="E22" s="78"/>
      <c r="F22" s="78"/>
      <c r="G22" s="78"/>
      <c r="H22" s="78"/>
      <c r="I22" s="79"/>
      <c r="J22" s="80" t="str">
        <f aca="false">IF(I22&lt;&gt;"",I22*0.95,"")</f>
        <v/>
      </c>
      <c r="K22" s="81" t="str">
        <f aca="false">IF(I22&lt;&gt;"",I22*1.08,"")</f>
        <v/>
      </c>
      <c r="L22" s="82" t="str">
        <f aca="false">IF(I22&lt;&gt;"",I22*1.12,"")</f>
        <v/>
      </c>
      <c r="M22" s="79"/>
      <c r="O22" s="79"/>
      <c r="R22" s="83" t="str">
        <f aca="false">IF(AND(I22&lt;&gt;"",O22&lt;&gt;""),( O22-I22)/I22,"")</f>
        <v/>
      </c>
      <c r="S22" s="84"/>
      <c r="T22" s="85" t="str">
        <f aca="false">IF(AND(R22&lt;&gt;"",S22&lt;&gt;""),R22-S22,"")</f>
        <v/>
      </c>
      <c r="U22" s="78"/>
      <c r="V22" s="86" t="str">
        <f aca="true">IF(A22&lt;&gt;"",TODAY()-A22,"")</f>
        <v/>
      </c>
      <c r="W22" s="78"/>
    </row>
    <row r="23" customFormat="false" ht="19.5" hidden="false" customHeight="true" outlineLevel="0" collapsed="false">
      <c r="A23" s="67"/>
      <c r="B23" s="68"/>
      <c r="C23" s="68"/>
      <c r="D23" s="68"/>
      <c r="E23" s="68"/>
      <c r="F23" s="68"/>
      <c r="G23" s="68"/>
      <c r="H23" s="68"/>
      <c r="I23" s="69"/>
      <c r="J23" s="70" t="str">
        <f aca="false">IF(I23&lt;&gt;"",I23*0.95,"")</f>
        <v/>
      </c>
      <c r="K23" s="71" t="str">
        <f aca="false">IF(I23&lt;&gt;"",I23*1.08,"")</f>
        <v/>
      </c>
      <c r="L23" s="72" t="str">
        <f aca="false">IF(I23&lt;&gt;"",I23*1.12,"")</f>
        <v/>
      </c>
      <c r="M23" s="69"/>
      <c r="O23" s="69"/>
      <c r="R23" s="73" t="str">
        <f aca="false">IF(AND(I23&lt;&gt;"",O23&lt;&gt;""),( O23-I23)/I23,"")</f>
        <v/>
      </c>
      <c r="S23" s="74"/>
      <c r="T23" s="75" t="str">
        <f aca="false">IF(AND(R23&lt;&gt;"",S23&lt;&gt;""),R23-S23,"")</f>
        <v/>
      </c>
      <c r="U23" s="68"/>
      <c r="V23" s="76" t="str">
        <f aca="true">IF(A23&lt;&gt;"",TODAY()-A23,"")</f>
        <v/>
      </c>
      <c r="W23" s="68"/>
    </row>
    <row r="24" customFormat="false" ht="19.5" hidden="false" customHeight="true" outlineLevel="0" collapsed="false">
      <c r="A24" s="77"/>
      <c r="B24" s="78"/>
      <c r="C24" s="78"/>
      <c r="D24" s="78"/>
      <c r="E24" s="78"/>
      <c r="F24" s="78"/>
      <c r="G24" s="78"/>
      <c r="H24" s="78"/>
      <c r="I24" s="79"/>
      <c r="J24" s="80" t="str">
        <f aca="false">IF(I24&lt;&gt;"",I24*0.95,"")</f>
        <v/>
      </c>
      <c r="K24" s="81" t="str">
        <f aca="false">IF(I24&lt;&gt;"",I24*1.08,"")</f>
        <v/>
      </c>
      <c r="L24" s="82" t="str">
        <f aca="false">IF(I24&lt;&gt;"",I24*1.12,"")</f>
        <v/>
      </c>
      <c r="M24" s="79"/>
      <c r="O24" s="79"/>
      <c r="R24" s="83" t="str">
        <f aca="false">IF(AND(I24&lt;&gt;"",O24&lt;&gt;""),( O24-I24)/I24,"")</f>
        <v/>
      </c>
      <c r="S24" s="84"/>
      <c r="T24" s="85" t="str">
        <f aca="false">IF(AND(R24&lt;&gt;"",S24&lt;&gt;""),R24-S24,"")</f>
        <v/>
      </c>
      <c r="U24" s="78"/>
      <c r="V24" s="86" t="str">
        <f aca="true">IF(A24&lt;&gt;"",TODAY()-A24,"")</f>
        <v/>
      </c>
      <c r="W24" s="78"/>
    </row>
    <row r="25" customFormat="false" ht="19.5" hidden="false" customHeight="true" outlineLevel="0" collapsed="false">
      <c r="A25" s="67"/>
      <c r="B25" s="68"/>
      <c r="C25" s="68"/>
      <c r="D25" s="68"/>
      <c r="E25" s="68"/>
      <c r="F25" s="68"/>
      <c r="G25" s="68"/>
      <c r="H25" s="68"/>
      <c r="I25" s="69"/>
      <c r="J25" s="70" t="str">
        <f aca="false">IF(I25&lt;&gt;"",I25*0.95,"")</f>
        <v/>
      </c>
      <c r="K25" s="71" t="str">
        <f aca="false">IF(I25&lt;&gt;"",I25*1.08,"")</f>
        <v/>
      </c>
      <c r="L25" s="72" t="str">
        <f aca="false">IF(I25&lt;&gt;"",I25*1.12,"")</f>
        <v/>
      </c>
      <c r="M25" s="69"/>
      <c r="O25" s="69"/>
      <c r="R25" s="73" t="str">
        <f aca="false">IF(AND(I25&lt;&gt;"",O25&lt;&gt;""),( O25-I25)/I25,"")</f>
        <v/>
      </c>
      <c r="S25" s="74"/>
      <c r="T25" s="75" t="str">
        <f aca="false">IF(AND(R25&lt;&gt;"",S25&lt;&gt;""),R25-S25,"")</f>
        <v/>
      </c>
      <c r="U25" s="68"/>
      <c r="V25" s="76" t="str">
        <f aca="true">IF(A25&lt;&gt;"",TODAY()-A25,"")</f>
        <v/>
      </c>
      <c r="W25" s="68"/>
    </row>
    <row r="26" customFormat="false" ht="19.5" hidden="false" customHeight="true" outlineLevel="0" collapsed="false">
      <c r="A26" s="77"/>
      <c r="B26" s="78"/>
      <c r="C26" s="78"/>
      <c r="D26" s="78"/>
      <c r="E26" s="78"/>
      <c r="F26" s="78"/>
      <c r="G26" s="78"/>
      <c r="H26" s="78"/>
      <c r="I26" s="79"/>
      <c r="J26" s="80" t="str">
        <f aca="false">IF(I26&lt;&gt;"",I26*0.95,"")</f>
        <v/>
      </c>
      <c r="K26" s="81" t="str">
        <f aca="false">IF(I26&lt;&gt;"",I26*1.08,"")</f>
        <v/>
      </c>
      <c r="L26" s="82" t="str">
        <f aca="false">IF(I26&lt;&gt;"",I26*1.12,"")</f>
        <v/>
      </c>
      <c r="M26" s="79"/>
      <c r="O26" s="79"/>
      <c r="R26" s="83" t="str">
        <f aca="false">IF(AND(I26&lt;&gt;"",O26&lt;&gt;""),( O26-I26)/I26,"")</f>
        <v/>
      </c>
      <c r="S26" s="84"/>
      <c r="T26" s="85" t="str">
        <f aca="false">IF(AND(R26&lt;&gt;"",S26&lt;&gt;""),R26-S26,"")</f>
        <v/>
      </c>
      <c r="U26" s="78"/>
      <c r="V26" s="86" t="str">
        <f aca="true">IF(A26&lt;&gt;"",TODAY()-A26,"")</f>
        <v/>
      </c>
      <c r="W26" s="78"/>
    </row>
    <row r="27" customFormat="false" ht="19.5" hidden="false" customHeight="true" outlineLevel="0" collapsed="false">
      <c r="A27" s="67"/>
      <c r="B27" s="68"/>
      <c r="C27" s="68"/>
      <c r="D27" s="68"/>
      <c r="E27" s="68"/>
      <c r="F27" s="68"/>
      <c r="G27" s="68"/>
      <c r="H27" s="68"/>
      <c r="I27" s="69"/>
      <c r="J27" s="70" t="str">
        <f aca="false">IF(I27&lt;&gt;"",I27*0.95,"")</f>
        <v/>
      </c>
      <c r="K27" s="71" t="str">
        <f aca="false">IF(I27&lt;&gt;"",I27*1.08,"")</f>
        <v/>
      </c>
      <c r="L27" s="72" t="str">
        <f aca="false">IF(I27&lt;&gt;"",I27*1.12,"")</f>
        <v/>
      </c>
      <c r="M27" s="69"/>
      <c r="O27" s="69"/>
      <c r="R27" s="73" t="str">
        <f aca="false">IF(AND(I27&lt;&gt;"",O27&lt;&gt;""),( O27-I27)/I27,"")</f>
        <v/>
      </c>
      <c r="S27" s="74"/>
      <c r="T27" s="75" t="str">
        <f aca="false">IF(AND(R27&lt;&gt;"",S27&lt;&gt;""),R27-S27,"")</f>
        <v/>
      </c>
      <c r="U27" s="68"/>
      <c r="V27" s="76" t="str">
        <f aca="true">IF(A27&lt;&gt;"",TODAY()-A27,"")</f>
        <v/>
      </c>
      <c r="W27" s="68"/>
    </row>
    <row r="28" customFormat="false" ht="19.5" hidden="false" customHeight="true" outlineLevel="0" collapsed="false">
      <c r="A28" s="77"/>
      <c r="B28" s="78"/>
      <c r="C28" s="78"/>
      <c r="D28" s="78"/>
      <c r="E28" s="78"/>
      <c r="F28" s="78"/>
      <c r="G28" s="78"/>
      <c r="H28" s="78"/>
      <c r="I28" s="79"/>
      <c r="J28" s="80" t="str">
        <f aca="false">IF(I28&lt;&gt;"",I28*0.95,"")</f>
        <v/>
      </c>
      <c r="K28" s="81" t="str">
        <f aca="false">IF(I28&lt;&gt;"",I28*1.08,"")</f>
        <v/>
      </c>
      <c r="L28" s="82" t="str">
        <f aca="false">IF(I28&lt;&gt;"",I28*1.12,"")</f>
        <v/>
      </c>
      <c r="M28" s="79"/>
      <c r="O28" s="79"/>
      <c r="R28" s="83" t="str">
        <f aca="false">IF(AND(I28&lt;&gt;"",O28&lt;&gt;""),( O28-I28)/I28,"")</f>
        <v/>
      </c>
      <c r="S28" s="84"/>
      <c r="T28" s="85" t="str">
        <f aca="false">IF(AND(R28&lt;&gt;"",S28&lt;&gt;""),R28-S28,"")</f>
        <v/>
      </c>
      <c r="U28" s="78"/>
      <c r="V28" s="86" t="str">
        <f aca="true">IF(A28&lt;&gt;"",TODAY()-A28,"")</f>
        <v/>
      </c>
      <c r="W28" s="78"/>
    </row>
    <row r="29" customFormat="false" ht="19.5" hidden="false" customHeight="true" outlineLevel="0" collapsed="false">
      <c r="A29" s="67"/>
      <c r="B29" s="68"/>
      <c r="C29" s="68"/>
      <c r="D29" s="68"/>
      <c r="E29" s="68"/>
      <c r="F29" s="68"/>
      <c r="G29" s="68"/>
      <c r="H29" s="68"/>
      <c r="I29" s="69"/>
      <c r="J29" s="70" t="str">
        <f aca="false">IF(I29&lt;&gt;"",I29*0.95,"")</f>
        <v/>
      </c>
      <c r="K29" s="71" t="str">
        <f aca="false">IF(I29&lt;&gt;"",I29*1.08,"")</f>
        <v/>
      </c>
      <c r="L29" s="72" t="str">
        <f aca="false">IF(I29&lt;&gt;"",I29*1.12,"")</f>
        <v/>
      </c>
      <c r="M29" s="69"/>
      <c r="O29" s="69"/>
      <c r="R29" s="73" t="str">
        <f aca="false">IF(AND(I29&lt;&gt;"",O29&lt;&gt;""),( O29-I29)/I29,"")</f>
        <v/>
      </c>
      <c r="S29" s="74"/>
      <c r="T29" s="75" t="str">
        <f aca="false">IF(AND(R29&lt;&gt;"",S29&lt;&gt;""),R29-S29,"")</f>
        <v/>
      </c>
      <c r="U29" s="68"/>
      <c r="V29" s="76" t="str">
        <f aca="true">IF(A29&lt;&gt;"",TODAY()-A29,"")</f>
        <v/>
      </c>
      <c r="W29" s="68"/>
    </row>
    <row r="30" customFormat="false" ht="19.5" hidden="false" customHeight="true" outlineLevel="0" collapsed="false">
      <c r="A30" s="77"/>
      <c r="B30" s="78"/>
      <c r="C30" s="78"/>
      <c r="D30" s="78"/>
      <c r="E30" s="78"/>
      <c r="F30" s="78"/>
      <c r="G30" s="78"/>
      <c r="H30" s="78"/>
      <c r="I30" s="79"/>
      <c r="J30" s="80" t="str">
        <f aca="false">IF(I30&lt;&gt;"",I30*0.95,"")</f>
        <v/>
      </c>
      <c r="K30" s="81" t="str">
        <f aca="false">IF(I30&lt;&gt;"",I30*1.08,"")</f>
        <v/>
      </c>
      <c r="L30" s="82" t="str">
        <f aca="false">IF(I30&lt;&gt;"",I30*1.12,"")</f>
        <v/>
      </c>
      <c r="M30" s="79"/>
      <c r="O30" s="79"/>
      <c r="R30" s="83" t="str">
        <f aca="false">IF(AND(I30&lt;&gt;"",O30&lt;&gt;""),( O30-I30)/I30,"")</f>
        <v/>
      </c>
      <c r="S30" s="84"/>
      <c r="T30" s="85" t="str">
        <f aca="false">IF(AND(R30&lt;&gt;"",S30&lt;&gt;""),R30-S30,"")</f>
        <v/>
      </c>
      <c r="U30" s="78"/>
      <c r="V30" s="86" t="str">
        <f aca="true">IF(A30&lt;&gt;"",TODAY()-A30,"")</f>
        <v/>
      </c>
      <c r="W30" s="78"/>
    </row>
    <row r="31" customFormat="false" ht="19.5" hidden="false" customHeight="true" outlineLevel="0" collapsed="false">
      <c r="A31" s="67"/>
      <c r="B31" s="68"/>
      <c r="C31" s="68"/>
      <c r="D31" s="68"/>
      <c r="E31" s="68"/>
      <c r="F31" s="68"/>
      <c r="G31" s="68"/>
      <c r="H31" s="68"/>
      <c r="I31" s="69"/>
      <c r="J31" s="70" t="str">
        <f aca="false">IF(I31&lt;&gt;"",I31*0.95,"")</f>
        <v/>
      </c>
      <c r="K31" s="71" t="str">
        <f aca="false">IF(I31&lt;&gt;"",I31*1.08,"")</f>
        <v/>
      </c>
      <c r="L31" s="72" t="str">
        <f aca="false">IF(I31&lt;&gt;"",I31*1.12,"")</f>
        <v/>
      </c>
      <c r="M31" s="69"/>
      <c r="O31" s="69"/>
      <c r="R31" s="73" t="str">
        <f aca="false">IF(AND(I31&lt;&gt;"",O31&lt;&gt;""),( O31-I31)/I31,"")</f>
        <v/>
      </c>
      <c r="S31" s="74"/>
      <c r="T31" s="75" t="str">
        <f aca="false">IF(AND(R31&lt;&gt;"",S31&lt;&gt;""),R31-S31,"")</f>
        <v/>
      </c>
      <c r="U31" s="68"/>
      <c r="V31" s="76" t="str">
        <f aca="true">IF(A31&lt;&gt;"",TODAY()-A31,"")</f>
        <v/>
      </c>
      <c r="W31" s="68"/>
    </row>
    <row r="32" customFormat="false" ht="19.5" hidden="false" customHeight="true" outlineLevel="0" collapsed="false">
      <c r="A32" s="77"/>
      <c r="B32" s="78"/>
      <c r="C32" s="78"/>
      <c r="D32" s="78"/>
      <c r="E32" s="78"/>
      <c r="F32" s="78"/>
      <c r="G32" s="78"/>
      <c r="H32" s="78"/>
      <c r="I32" s="79"/>
      <c r="J32" s="80" t="str">
        <f aca="false">IF(I32&lt;&gt;"",I32*0.95,"")</f>
        <v/>
      </c>
      <c r="K32" s="81" t="str">
        <f aca="false">IF(I32&lt;&gt;"",I32*1.08,"")</f>
        <v/>
      </c>
      <c r="L32" s="82" t="str">
        <f aca="false">IF(I32&lt;&gt;"",I32*1.12,"")</f>
        <v/>
      </c>
      <c r="M32" s="79"/>
      <c r="O32" s="79"/>
      <c r="R32" s="83" t="str">
        <f aca="false">IF(AND(I32&lt;&gt;"",O32&lt;&gt;""),( O32-I32)/I32,"")</f>
        <v/>
      </c>
      <c r="S32" s="84"/>
      <c r="T32" s="85" t="str">
        <f aca="false">IF(AND(R32&lt;&gt;"",S32&lt;&gt;""),R32-S32,"")</f>
        <v/>
      </c>
      <c r="U32" s="78"/>
      <c r="V32" s="86" t="str">
        <f aca="true">IF(A32&lt;&gt;"",TODAY()-A32,"")</f>
        <v/>
      </c>
      <c r="W32" s="78"/>
    </row>
    <row r="33" customFormat="false" ht="19.5" hidden="false" customHeight="true" outlineLevel="0" collapsed="false">
      <c r="A33" s="67"/>
      <c r="B33" s="68"/>
      <c r="C33" s="68"/>
      <c r="D33" s="68"/>
      <c r="E33" s="68"/>
      <c r="F33" s="68"/>
      <c r="G33" s="68"/>
      <c r="H33" s="68"/>
      <c r="I33" s="69"/>
      <c r="J33" s="70" t="str">
        <f aca="false">IF(I33&lt;&gt;"",I33*0.95,"")</f>
        <v/>
      </c>
      <c r="K33" s="71" t="str">
        <f aca="false">IF(I33&lt;&gt;"",I33*1.08,"")</f>
        <v/>
      </c>
      <c r="L33" s="72" t="str">
        <f aca="false">IF(I33&lt;&gt;"",I33*1.12,"")</f>
        <v/>
      </c>
      <c r="M33" s="69"/>
      <c r="O33" s="69"/>
      <c r="R33" s="73" t="str">
        <f aca="false">IF(AND(I33&lt;&gt;"",O33&lt;&gt;""),( O33-I33)/I33,"")</f>
        <v/>
      </c>
      <c r="S33" s="74"/>
      <c r="T33" s="75" t="str">
        <f aca="false">IF(AND(R33&lt;&gt;"",S33&lt;&gt;""),R33-S33,"")</f>
        <v/>
      </c>
      <c r="U33" s="68"/>
      <c r="V33" s="76" t="str">
        <f aca="true">IF(A33&lt;&gt;"",TODAY()-A33,"")</f>
        <v/>
      </c>
      <c r="W33" s="68"/>
    </row>
    <row r="34" customFormat="false" ht="19.5" hidden="false" customHeight="true" outlineLevel="0" collapsed="false">
      <c r="A34" s="77"/>
      <c r="B34" s="78"/>
      <c r="C34" s="78"/>
      <c r="D34" s="78"/>
      <c r="E34" s="78"/>
      <c r="F34" s="78"/>
      <c r="G34" s="78"/>
      <c r="H34" s="78"/>
      <c r="I34" s="79"/>
      <c r="J34" s="80" t="str">
        <f aca="false">IF(I34&lt;&gt;"",I34*0.95,"")</f>
        <v/>
      </c>
      <c r="K34" s="81" t="str">
        <f aca="false">IF(I34&lt;&gt;"",I34*1.08,"")</f>
        <v/>
      </c>
      <c r="L34" s="82" t="str">
        <f aca="false">IF(I34&lt;&gt;"",I34*1.12,"")</f>
        <v/>
      </c>
      <c r="M34" s="79"/>
      <c r="O34" s="79"/>
      <c r="R34" s="83" t="str">
        <f aca="false">IF(AND(I34&lt;&gt;"",O34&lt;&gt;""),( O34-I34)/I34,"")</f>
        <v/>
      </c>
      <c r="S34" s="84"/>
      <c r="T34" s="85" t="str">
        <f aca="false">IF(AND(R34&lt;&gt;"",S34&lt;&gt;""),R34-S34,"")</f>
        <v/>
      </c>
      <c r="U34" s="78"/>
      <c r="V34" s="86" t="str">
        <f aca="true">IF(A34&lt;&gt;"",TODAY()-A34,"")</f>
        <v/>
      </c>
      <c r="W34" s="78"/>
    </row>
    <row r="35" customFormat="false" ht="19.5" hidden="false" customHeight="true" outlineLevel="0" collapsed="false">
      <c r="A35" s="67"/>
      <c r="B35" s="68"/>
      <c r="C35" s="68"/>
      <c r="D35" s="68"/>
      <c r="E35" s="68"/>
      <c r="F35" s="68"/>
      <c r="G35" s="68"/>
      <c r="H35" s="68"/>
      <c r="I35" s="69"/>
      <c r="J35" s="70" t="str">
        <f aca="false">IF(I35&lt;&gt;"",I35*0.95,"")</f>
        <v/>
      </c>
      <c r="K35" s="71" t="str">
        <f aca="false">IF(I35&lt;&gt;"",I35*1.08,"")</f>
        <v/>
      </c>
      <c r="L35" s="72" t="str">
        <f aca="false">IF(I35&lt;&gt;"",I35*1.12,"")</f>
        <v/>
      </c>
      <c r="M35" s="69"/>
      <c r="O35" s="69"/>
      <c r="R35" s="73" t="str">
        <f aca="false">IF(AND(I35&lt;&gt;"",O35&lt;&gt;""),( O35-I35)/I35,"")</f>
        <v/>
      </c>
      <c r="S35" s="74"/>
      <c r="T35" s="75" t="str">
        <f aca="false">IF(AND(R35&lt;&gt;"",S35&lt;&gt;""),R35-S35,"")</f>
        <v/>
      </c>
      <c r="U35" s="68"/>
      <c r="V35" s="76" t="str">
        <f aca="true">IF(A35&lt;&gt;"",TODAY()-A35,"")</f>
        <v/>
      </c>
      <c r="W35" s="68"/>
    </row>
    <row r="36" customFormat="false" ht="19.5" hidden="false" customHeight="true" outlineLevel="0" collapsed="false">
      <c r="A36" s="77"/>
      <c r="B36" s="78"/>
      <c r="C36" s="78"/>
      <c r="D36" s="78"/>
      <c r="E36" s="78"/>
      <c r="F36" s="78"/>
      <c r="G36" s="78"/>
      <c r="H36" s="78"/>
      <c r="I36" s="79"/>
      <c r="J36" s="80" t="str">
        <f aca="false">IF(I36&lt;&gt;"",I36*0.95,"")</f>
        <v/>
      </c>
      <c r="K36" s="81" t="str">
        <f aca="false">IF(I36&lt;&gt;"",I36*1.08,"")</f>
        <v/>
      </c>
      <c r="L36" s="82" t="str">
        <f aca="false">IF(I36&lt;&gt;"",I36*1.12,"")</f>
        <v/>
      </c>
      <c r="M36" s="79"/>
      <c r="O36" s="79"/>
      <c r="R36" s="83" t="str">
        <f aca="false">IF(AND(I36&lt;&gt;"",O36&lt;&gt;""),( O36-I36)/I36,"")</f>
        <v/>
      </c>
      <c r="S36" s="84"/>
      <c r="T36" s="85" t="str">
        <f aca="false">IF(AND(R36&lt;&gt;"",S36&lt;&gt;""),R36-S36,"")</f>
        <v/>
      </c>
      <c r="U36" s="78"/>
      <c r="V36" s="86" t="str">
        <f aca="true">IF(A36&lt;&gt;"",TODAY()-A36,"")</f>
        <v/>
      </c>
      <c r="W36" s="78"/>
    </row>
    <row r="37" customFormat="false" ht="19.5" hidden="false" customHeight="true" outlineLevel="0" collapsed="false">
      <c r="A37" s="67"/>
      <c r="B37" s="68"/>
      <c r="C37" s="68"/>
      <c r="D37" s="68"/>
      <c r="E37" s="68"/>
      <c r="F37" s="68"/>
      <c r="G37" s="68"/>
      <c r="H37" s="68"/>
      <c r="I37" s="69"/>
      <c r="J37" s="70" t="str">
        <f aca="false">IF(I37&lt;&gt;"",I37*0.95,"")</f>
        <v/>
      </c>
      <c r="K37" s="71" t="str">
        <f aca="false">IF(I37&lt;&gt;"",I37*1.08,"")</f>
        <v/>
      </c>
      <c r="L37" s="72" t="str">
        <f aca="false">IF(I37&lt;&gt;"",I37*1.12,"")</f>
        <v/>
      </c>
      <c r="M37" s="69"/>
      <c r="O37" s="69"/>
      <c r="R37" s="73" t="str">
        <f aca="false">IF(AND(I37&lt;&gt;"",O37&lt;&gt;""),( O37-I37)/I37,"")</f>
        <v/>
      </c>
      <c r="S37" s="74"/>
      <c r="T37" s="75" t="str">
        <f aca="false">IF(AND(R37&lt;&gt;"",S37&lt;&gt;""),R37-S37,"")</f>
        <v/>
      </c>
      <c r="U37" s="68"/>
      <c r="V37" s="76" t="str">
        <f aca="true">IF(A37&lt;&gt;"",TODAY()-A37,"")</f>
        <v/>
      </c>
      <c r="W37" s="68"/>
    </row>
    <row r="38" customFormat="false" ht="19.5" hidden="false" customHeight="true" outlineLevel="0" collapsed="false">
      <c r="A38" s="77"/>
      <c r="B38" s="78"/>
      <c r="C38" s="78"/>
      <c r="D38" s="78"/>
      <c r="E38" s="78"/>
      <c r="F38" s="78"/>
      <c r="G38" s="78"/>
      <c r="H38" s="78"/>
      <c r="I38" s="79"/>
      <c r="J38" s="80" t="str">
        <f aca="false">IF(I38&lt;&gt;"",I38*0.95,"")</f>
        <v/>
      </c>
      <c r="K38" s="81" t="str">
        <f aca="false">IF(I38&lt;&gt;"",I38*1.08,"")</f>
        <v/>
      </c>
      <c r="L38" s="82" t="str">
        <f aca="false">IF(I38&lt;&gt;"",I38*1.12,"")</f>
        <v/>
      </c>
      <c r="M38" s="79"/>
      <c r="O38" s="79"/>
      <c r="R38" s="83" t="str">
        <f aca="false">IF(AND(I38&lt;&gt;"",O38&lt;&gt;""),( O38-I38)/I38,"")</f>
        <v/>
      </c>
      <c r="S38" s="84"/>
      <c r="T38" s="85" t="str">
        <f aca="false">IF(AND(R38&lt;&gt;"",S38&lt;&gt;""),R38-S38,"")</f>
        <v/>
      </c>
      <c r="U38" s="78"/>
      <c r="V38" s="86" t="str">
        <f aca="true">IF(A38&lt;&gt;"",TODAY()-A38,"")</f>
        <v/>
      </c>
      <c r="W38" s="78"/>
    </row>
    <row r="39" customFormat="false" ht="19.5" hidden="false" customHeight="true" outlineLevel="0" collapsed="false">
      <c r="A39" s="67"/>
      <c r="B39" s="68"/>
      <c r="C39" s="68"/>
      <c r="D39" s="68"/>
      <c r="E39" s="68"/>
      <c r="F39" s="68"/>
      <c r="G39" s="68"/>
      <c r="H39" s="68"/>
      <c r="I39" s="69"/>
      <c r="J39" s="70" t="str">
        <f aca="false">IF(I39&lt;&gt;"",I39*0.95,"")</f>
        <v/>
      </c>
      <c r="K39" s="71" t="str">
        <f aca="false">IF(I39&lt;&gt;"",I39*1.08,"")</f>
        <v/>
      </c>
      <c r="L39" s="72" t="str">
        <f aca="false">IF(I39&lt;&gt;"",I39*1.12,"")</f>
        <v/>
      </c>
      <c r="M39" s="69"/>
      <c r="O39" s="69"/>
      <c r="R39" s="73" t="str">
        <f aca="false">IF(AND(I39&lt;&gt;"",O39&lt;&gt;""),( O39-I39)/I39,"")</f>
        <v/>
      </c>
      <c r="S39" s="74"/>
      <c r="T39" s="75" t="str">
        <f aca="false">IF(AND(R39&lt;&gt;"",S39&lt;&gt;""),R39-S39,"")</f>
        <v/>
      </c>
      <c r="U39" s="68"/>
      <c r="V39" s="76" t="str">
        <f aca="true">IF(A39&lt;&gt;"",TODAY()-A39,"")</f>
        <v/>
      </c>
      <c r="W39" s="68"/>
    </row>
    <row r="40" customFormat="false" ht="19.5" hidden="false" customHeight="true" outlineLevel="0" collapsed="false">
      <c r="A40" s="77"/>
      <c r="B40" s="78"/>
      <c r="C40" s="78"/>
      <c r="D40" s="78"/>
      <c r="E40" s="78"/>
      <c r="F40" s="78"/>
      <c r="G40" s="78"/>
      <c r="H40" s="78"/>
      <c r="I40" s="79"/>
      <c r="J40" s="80" t="str">
        <f aca="false">IF(I40&lt;&gt;"",I40*0.95,"")</f>
        <v/>
      </c>
      <c r="K40" s="81" t="str">
        <f aca="false">IF(I40&lt;&gt;"",I40*1.08,"")</f>
        <v/>
      </c>
      <c r="L40" s="82" t="str">
        <f aca="false">IF(I40&lt;&gt;"",I40*1.12,"")</f>
        <v/>
      </c>
      <c r="M40" s="79"/>
      <c r="O40" s="79"/>
      <c r="R40" s="83" t="str">
        <f aca="false">IF(AND(I40&lt;&gt;"",O40&lt;&gt;""),( O40-I40)/I40,"")</f>
        <v/>
      </c>
      <c r="S40" s="84"/>
      <c r="T40" s="85" t="str">
        <f aca="false">IF(AND(R40&lt;&gt;"",S40&lt;&gt;""),R40-S40,"")</f>
        <v/>
      </c>
      <c r="U40" s="78"/>
      <c r="V40" s="86" t="str">
        <f aca="true">IF(A40&lt;&gt;"",TODAY()-A40,"")</f>
        <v/>
      </c>
      <c r="W40" s="78"/>
    </row>
    <row r="41" customFormat="false" ht="19.5" hidden="false" customHeight="true" outlineLevel="0" collapsed="false">
      <c r="A41" s="67"/>
      <c r="B41" s="68"/>
      <c r="C41" s="68"/>
      <c r="D41" s="68"/>
      <c r="E41" s="68"/>
      <c r="F41" s="68"/>
      <c r="G41" s="68"/>
      <c r="H41" s="68"/>
      <c r="I41" s="69"/>
      <c r="J41" s="70" t="str">
        <f aca="false">IF(I41&lt;&gt;"",I41*0.95,"")</f>
        <v/>
      </c>
      <c r="K41" s="71" t="str">
        <f aca="false">IF(I41&lt;&gt;"",I41*1.08,"")</f>
        <v/>
      </c>
      <c r="L41" s="72" t="str">
        <f aca="false">IF(I41&lt;&gt;"",I41*1.12,"")</f>
        <v/>
      </c>
      <c r="M41" s="69"/>
      <c r="O41" s="69"/>
      <c r="R41" s="73" t="str">
        <f aca="false">IF(AND(I41&lt;&gt;"",O41&lt;&gt;""),( O41-I41)/I41,"")</f>
        <v/>
      </c>
      <c r="S41" s="74"/>
      <c r="T41" s="75" t="str">
        <f aca="false">IF(AND(R41&lt;&gt;"",S41&lt;&gt;""),R41-S41,"")</f>
        <v/>
      </c>
      <c r="U41" s="68"/>
      <c r="V41" s="76" t="str">
        <f aca="true">IF(A41&lt;&gt;"",TODAY()-A41,"")</f>
        <v/>
      </c>
      <c r="W41" s="68"/>
    </row>
    <row r="42" customFormat="false" ht="19.5" hidden="false" customHeight="true" outlineLevel="0" collapsed="false">
      <c r="A42" s="77"/>
      <c r="B42" s="78"/>
      <c r="C42" s="78"/>
      <c r="D42" s="78"/>
      <c r="E42" s="78"/>
      <c r="F42" s="78"/>
      <c r="G42" s="78"/>
      <c r="H42" s="78"/>
      <c r="I42" s="79"/>
      <c r="J42" s="80" t="str">
        <f aca="false">IF(I42&lt;&gt;"",I42*0.95,"")</f>
        <v/>
      </c>
      <c r="K42" s="81" t="str">
        <f aca="false">IF(I42&lt;&gt;"",I42*1.08,"")</f>
        <v/>
      </c>
      <c r="L42" s="82" t="str">
        <f aca="false">IF(I42&lt;&gt;"",I42*1.12,"")</f>
        <v/>
      </c>
      <c r="M42" s="79"/>
      <c r="O42" s="79"/>
      <c r="R42" s="83" t="str">
        <f aca="false">IF(AND(I42&lt;&gt;"",O42&lt;&gt;""),( O42-I42)/I42,"")</f>
        <v/>
      </c>
      <c r="S42" s="84"/>
      <c r="T42" s="85" t="str">
        <f aca="false">IF(AND(R42&lt;&gt;"",S42&lt;&gt;""),R42-S42,"")</f>
        <v/>
      </c>
      <c r="U42" s="78"/>
      <c r="V42" s="86" t="str">
        <f aca="true">IF(A42&lt;&gt;"",TODAY()-A42,"")</f>
        <v/>
      </c>
      <c r="W42" s="78"/>
    </row>
    <row r="43" customFormat="false" ht="19.5" hidden="false" customHeight="true" outlineLevel="0" collapsed="false">
      <c r="A43" s="67"/>
      <c r="B43" s="68"/>
      <c r="C43" s="68"/>
      <c r="D43" s="68"/>
      <c r="E43" s="68"/>
      <c r="F43" s="68"/>
      <c r="G43" s="68"/>
      <c r="H43" s="68"/>
      <c r="I43" s="69"/>
      <c r="J43" s="70" t="str">
        <f aca="false">IF(I43&lt;&gt;"",I43*0.95,"")</f>
        <v/>
      </c>
      <c r="K43" s="71" t="str">
        <f aca="false">IF(I43&lt;&gt;"",I43*1.08,"")</f>
        <v/>
      </c>
      <c r="L43" s="72" t="str">
        <f aca="false">IF(I43&lt;&gt;"",I43*1.12,"")</f>
        <v/>
      </c>
      <c r="M43" s="69"/>
      <c r="O43" s="69"/>
      <c r="R43" s="73" t="str">
        <f aca="false">IF(AND(I43&lt;&gt;"",O43&lt;&gt;""),( O43-I43)/I43,"")</f>
        <v/>
      </c>
      <c r="S43" s="74"/>
      <c r="T43" s="75" t="str">
        <f aca="false">IF(AND(R43&lt;&gt;"",S43&lt;&gt;""),R43-S43,"")</f>
        <v/>
      </c>
      <c r="U43" s="68"/>
      <c r="V43" s="76" t="str">
        <f aca="true">IF(A43&lt;&gt;"",TODAY()-A43,"")</f>
        <v/>
      </c>
      <c r="W43" s="68"/>
    </row>
    <row r="44" customFormat="false" ht="19.5" hidden="false" customHeight="true" outlineLevel="0" collapsed="false">
      <c r="A44" s="77"/>
      <c r="B44" s="78"/>
      <c r="C44" s="78"/>
      <c r="D44" s="78"/>
      <c r="E44" s="78"/>
      <c r="F44" s="78"/>
      <c r="G44" s="78"/>
      <c r="H44" s="78"/>
      <c r="I44" s="79"/>
      <c r="J44" s="80" t="str">
        <f aca="false">IF(I44&lt;&gt;"",I44*0.95,"")</f>
        <v/>
      </c>
      <c r="K44" s="81" t="str">
        <f aca="false">IF(I44&lt;&gt;"",I44*1.08,"")</f>
        <v/>
      </c>
      <c r="L44" s="82" t="str">
        <f aca="false">IF(I44&lt;&gt;"",I44*1.12,"")</f>
        <v/>
      </c>
      <c r="M44" s="79"/>
      <c r="O44" s="79"/>
      <c r="R44" s="83" t="str">
        <f aca="false">IF(AND(I44&lt;&gt;"",O44&lt;&gt;""),( O44-I44)/I44,"")</f>
        <v/>
      </c>
      <c r="S44" s="84"/>
      <c r="T44" s="85" t="str">
        <f aca="false">IF(AND(R44&lt;&gt;"",S44&lt;&gt;""),R44-S44,"")</f>
        <v/>
      </c>
      <c r="U44" s="78"/>
      <c r="V44" s="86" t="str">
        <f aca="true">IF(A44&lt;&gt;"",TODAY()-A44,"")</f>
        <v/>
      </c>
      <c r="W44" s="78"/>
    </row>
    <row r="45" customFormat="false" ht="19.5" hidden="false" customHeight="true" outlineLevel="0" collapsed="false">
      <c r="A45" s="67"/>
      <c r="B45" s="68"/>
      <c r="C45" s="68"/>
      <c r="D45" s="68"/>
      <c r="E45" s="68"/>
      <c r="F45" s="68"/>
      <c r="G45" s="68"/>
      <c r="H45" s="68"/>
      <c r="I45" s="69"/>
      <c r="J45" s="70" t="str">
        <f aca="false">IF(I45&lt;&gt;"",I45*0.95,"")</f>
        <v/>
      </c>
      <c r="K45" s="71" t="str">
        <f aca="false">IF(I45&lt;&gt;"",I45*1.08,"")</f>
        <v/>
      </c>
      <c r="L45" s="72" t="str">
        <f aca="false">IF(I45&lt;&gt;"",I45*1.12,"")</f>
        <v/>
      </c>
      <c r="M45" s="69"/>
      <c r="O45" s="69"/>
      <c r="R45" s="73" t="str">
        <f aca="false">IF(AND(I45&lt;&gt;"",O45&lt;&gt;""),( O45-I45)/I45,"")</f>
        <v/>
      </c>
      <c r="S45" s="74"/>
      <c r="T45" s="75" t="str">
        <f aca="false">IF(AND(R45&lt;&gt;"",S45&lt;&gt;""),R45-S45,"")</f>
        <v/>
      </c>
      <c r="U45" s="68"/>
      <c r="V45" s="76" t="str">
        <f aca="true">IF(A45&lt;&gt;"",TODAY()-A45,"")</f>
        <v/>
      </c>
      <c r="W45" s="68"/>
    </row>
    <row r="46" customFormat="false" ht="19.5" hidden="false" customHeight="true" outlineLevel="0" collapsed="false">
      <c r="A46" s="77"/>
      <c r="B46" s="78"/>
      <c r="C46" s="78"/>
      <c r="D46" s="78"/>
      <c r="E46" s="78"/>
      <c r="F46" s="78"/>
      <c r="G46" s="78"/>
      <c r="H46" s="78"/>
      <c r="I46" s="79"/>
      <c r="J46" s="80" t="str">
        <f aca="false">IF(I46&lt;&gt;"",I46*0.95,"")</f>
        <v/>
      </c>
      <c r="K46" s="81" t="str">
        <f aca="false">IF(I46&lt;&gt;"",I46*1.08,"")</f>
        <v/>
      </c>
      <c r="L46" s="82" t="str">
        <f aca="false">IF(I46&lt;&gt;"",I46*1.12,"")</f>
        <v/>
      </c>
      <c r="M46" s="79"/>
      <c r="O46" s="79"/>
      <c r="R46" s="83" t="str">
        <f aca="false">IF(AND(I46&lt;&gt;"",O46&lt;&gt;""),( O46-I46)/I46,"")</f>
        <v/>
      </c>
      <c r="S46" s="84"/>
      <c r="T46" s="85" t="str">
        <f aca="false">IF(AND(R46&lt;&gt;"",S46&lt;&gt;""),R46-S46,"")</f>
        <v/>
      </c>
      <c r="U46" s="78"/>
      <c r="V46" s="86" t="str">
        <f aca="true">IF(A46&lt;&gt;"",TODAY()-A46,"")</f>
        <v/>
      </c>
      <c r="W46" s="78"/>
    </row>
    <row r="47" customFormat="false" ht="19.5" hidden="false" customHeight="true" outlineLevel="0" collapsed="false">
      <c r="A47" s="67"/>
      <c r="B47" s="68"/>
      <c r="C47" s="68"/>
      <c r="D47" s="68"/>
      <c r="E47" s="68"/>
      <c r="F47" s="68"/>
      <c r="G47" s="68"/>
      <c r="H47" s="68"/>
      <c r="I47" s="69"/>
      <c r="J47" s="70" t="str">
        <f aca="false">IF(I47&lt;&gt;"",I47*0.95,"")</f>
        <v/>
      </c>
      <c r="K47" s="71" t="str">
        <f aca="false">IF(I47&lt;&gt;"",I47*1.08,"")</f>
        <v/>
      </c>
      <c r="L47" s="72" t="str">
        <f aca="false">IF(I47&lt;&gt;"",I47*1.12,"")</f>
        <v/>
      </c>
      <c r="M47" s="69"/>
      <c r="O47" s="69"/>
      <c r="R47" s="73" t="str">
        <f aca="false">IF(AND(I47&lt;&gt;"",O47&lt;&gt;""),( O47-I47)/I47,"")</f>
        <v/>
      </c>
      <c r="S47" s="74"/>
      <c r="T47" s="75" t="str">
        <f aca="false">IF(AND(R47&lt;&gt;"",S47&lt;&gt;""),R47-S47,"")</f>
        <v/>
      </c>
      <c r="U47" s="68"/>
      <c r="V47" s="76" t="str">
        <f aca="true">IF(A47&lt;&gt;"",TODAY()-A47,"")</f>
        <v/>
      </c>
      <c r="W47" s="68"/>
    </row>
    <row r="48" customFormat="false" ht="19.5" hidden="false" customHeight="true" outlineLevel="0" collapsed="false">
      <c r="A48" s="77"/>
      <c r="B48" s="78"/>
      <c r="C48" s="78"/>
      <c r="D48" s="78"/>
      <c r="E48" s="78"/>
      <c r="F48" s="78"/>
      <c r="G48" s="78"/>
      <c r="H48" s="78"/>
      <c r="I48" s="79"/>
      <c r="J48" s="80" t="str">
        <f aca="false">IF(I48&lt;&gt;"",I48*0.95,"")</f>
        <v/>
      </c>
      <c r="K48" s="81" t="str">
        <f aca="false">IF(I48&lt;&gt;"",I48*1.08,"")</f>
        <v/>
      </c>
      <c r="L48" s="82" t="str">
        <f aca="false">IF(I48&lt;&gt;"",I48*1.12,"")</f>
        <v/>
      </c>
      <c r="M48" s="79"/>
      <c r="O48" s="79"/>
      <c r="R48" s="83" t="str">
        <f aca="false">IF(AND(I48&lt;&gt;"",O48&lt;&gt;""),( O48-I48)/I48,"")</f>
        <v/>
      </c>
      <c r="S48" s="84"/>
      <c r="T48" s="85" t="str">
        <f aca="false">IF(AND(R48&lt;&gt;"",S48&lt;&gt;""),R48-S48,"")</f>
        <v/>
      </c>
      <c r="U48" s="78"/>
      <c r="V48" s="86" t="str">
        <f aca="true">IF(A48&lt;&gt;"",TODAY()-A48,"")</f>
        <v/>
      </c>
      <c r="W48" s="78"/>
    </row>
    <row r="49" customFormat="false" ht="19.5" hidden="false" customHeight="true" outlineLevel="0" collapsed="false">
      <c r="A49" s="67"/>
      <c r="B49" s="68"/>
      <c r="C49" s="68"/>
      <c r="D49" s="68"/>
      <c r="E49" s="68"/>
      <c r="F49" s="68"/>
      <c r="G49" s="68"/>
      <c r="H49" s="68"/>
      <c r="I49" s="69"/>
      <c r="J49" s="70" t="str">
        <f aca="false">IF(I49&lt;&gt;"",I49*0.95,"")</f>
        <v/>
      </c>
      <c r="K49" s="71" t="str">
        <f aca="false">IF(I49&lt;&gt;"",I49*1.08,"")</f>
        <v/>
      </c>
      <c r="L49" s="72" t="str">
        <f aca="false">IF(I49&lt;&gt;"",I49*1.12,"")</f>
        <v/>
      </c>
      <c r="M49" s="69"/>
      <c r="O49" s="69"/>
      <c r="R49" s="73" t="str">
        <f aca="false">IF(AND(I49&lt;&gt;"",O49&lt;&gt;""),( O49-I49)/I49,"")</f>
        <v/>
      </c>
      <c r="S49" s="74"/>
      <c r="T49" s="75" t="str">
        <f aca="false">IF(AND(R49&lt;&gt;"",S49&lt;&gt;""),R49-S49,"")</f>
        <v/>
      </c>
      <c r="U49" s="68"/>
      <c r="V49" s="76" t="str">
        <f aca="true">IF(A49&lt;&gt;"",TODAY()-A49,"")</f>
        <v/>
      </c>
      <c r="W49" s="68"/>
    </row>
    <row r="50" customFormat="false" ht="19.5" hidden="false" customHeight="true" outlineLevel="0" collapsed="false">
      <c r="A50" s="77"/>
      <c r="B50" s="78"/>
      <c r="C50" s="78"/>
      <c r="D50" s="78"/>
      <c r="E50" s="78"/>
      <c r="F50" s="78"/>
      <c r="G50" s="78"/>
      <c r="H50" s="78"/>
      <c r="I50" s="79"/>
      <c r="J50" s="80" t="str">
        <f aca="false">IF(I50&lt;&gt;"",I50*0.95,"")</f>
        <v/>
      </c>
      <c r="K50" s="81" t="str">
        <f aca="false">IF(I50&lt;&gt;"",I50*1.08,"")</f>
        <v/>
      </c>
      <c r="L50" s="82" t="str">
        <f aca="false">IF(I50&lt;&gt;"",I50*1.12,"")</f>
        <v/>
      </c>
      <c r="M50" s="79"/>
      <c r="O50" s="79"/>
      <c r="R50" s="83" t="str">
        <f aca="false">IF(AND(I50&lt;&gt;"",O50&lt;&gt;""),( O50-I50)/I50,"")</f>
        <v/>
      </c>
      <c r="S50" s="84"/>
      <c r="T50" s="85" t="str">
        <f aca="false">IF(AND(R50&lt;&gt;"",S50&lt;&gt;""),R50-S50,"")</f>
        <v/>
      </c>
      <c r="U50" s="78"/>
      <c r="V50" s="86" t="str">
        <f aca="true">IF(A50&lt;&gt;"",TODAY()-A50,"")</f>
        <v/>
      </c>
      <c r="W50" s="78"/>
    </row>
    <row r="51" customFormat="false" ht="19.5" hidden="false" customHeight="true" outlineLevel="0" collapsed="false">
      <c r="A51" s="67"/>
      <c r="B51" s="68"/>
      <c r="C51" s="68"/>
      <c r="D51" s="68"/>
      <c r="E51" s="68"/>
      <c r="F51" s="68"/>
      <c r="G51" s="68"/>
      <c r="H51" s="68"/>
      <c r="I51" s="69"/>
      <c r="J51" s="70" t="str">
        <f aca="false">IF(I51&lt;&gt;"",I51*0.95,"")</f>
        <v/>
      </c>
      <c r="K51" s="71" t="str">
        <f aca="false">IF(I51&lt;&gt;"",I51*1.08,"")</f>
        <v/>
      </c>
      <c r="L51" s="72" t="str">
        <f aca="false">IF(I51&lt;&gt;"",I51*1.12,"")</f>
        <v/>
      </c>
      <c r="M51" s="69"/>
      <c r="O51" s="69"/>
      <c r="R51" s="73" t="str">
        <f aca="false">IF(AND(I51&lt;&gt;"",O51&lt;&gt;""),( O51-I51)/I51,"")</f>
        <v/>
      </c>
      <c r="S51" s="74"/>
      <c r="T51" s="75" t="str">
        <f aca="false">IF(AND(R51&lt;&gt;"",S51&lt;&gt;""),R51-S51,"")</f>
        <v/>
      </c>
      <c r="U51" s="68"/>
      <c r="V51" s="76" t="str">
        <f aca="true">IF(A51&lt;&gt;"",TODAY()-A51,"")</f>
        <v/>
      </c>
      <c r="W51" s="68"/>
    </row>
    <row r="52" customFormat="false" ht="19.5" hidden="false" customHeight="true" outlineLevel="0" collapsed="false">
      <c r="A52" s="77"/>
      <c r="B52" s="78"/>
      <c r="C52" s="78"/>
      <c r="D52" s="78"/>
      <c r="E52" s="78"/>
      <c r="F52" s="78"/>
      <c r="G52" s="78"/>
      <c r="H52" s="78"/>
      <c r="I52" s="79"/>
      <c r="J52" s="80" t="str">
        <f aca="false">IF(I52&lt;&gt;"",I52*0.95,"")</f>
        <v/>
      </c>
      <c r="K52" s="81" t="str">
        <f aca="false">IF(I52&lt;&gt;"",I52*1.08,"")</f>
        <v/>
      </c>
      <c r="L52" s="82" t="str">
        <f aca="false">IF(I52&lt;&gt;"",I52*1.12,"")</f>
        <v/>
      </c>
      <c r="M52" s="79"/>
      <c r="O52" s="79"/>
      <c r="R52" s="83" t="str">
        <f aca="false">IF(AND(I52&lt;&gt;"",O52&lt;&gt;""),( O52-I52)/I52,"")</f>
        <v/>
      </c>
      <c r="S52" s="84"/>
      <c r="T52" s="85" t="str">
        <f aca="false">IF(AND(R52&lt;&gt;"",S52&lt;&gt;""),R52-S52,"")</f>
        <v/>
      </c>
      <c r="U52" s="78"/>
      <c r="V52" s="86" t="str">
        <f aca="true">IF(A52&lt;&gt;"",TODAY()-A52,"")</f>
        <v/>
      </c>
      <c r="W52" s="78"/>
    </row>
    <row r="53" customFormat="false" ht="19.5" hidden="false" customHeight="true" outlineLevel="0" collapsed="false">
      <c r="A53" s="67"/>
      <c r="B53" s="68"/>
      <c r="C53" s="68"/>
      <c r="D53" s="68"/>
      <c r="E53" s="68"/>
      <c r="F53" s="68"/>
      <c r="G53" s="68"/>
      <c r="H53" s="68"/>
      <c r="I53" s="69"/>
      <c r="J53" s="70" t="str">
        <f aca="false">IF(I53&lt;&gt;"",I53*0.95,"")</f>
        <v/>
      </c>
      <c r="K53" s="71" t="str">
        <f aca="false">IF(I53&lt;&gt;"",I53*1.08,"")</f>
        <v/>
      </c>
      <c r="L53" s="72" t="str">
        <f aca="false">IF(I53&lt;&gt;"",I53*1.12,"")</f>
        <v/>
      </c>
      <c r="M53" s="69"/>
      <c r="O53" s="69"/>
      <c r="R53" s="73" t="str">
        <f aca="false">IF(AND(I53&lt;&gt;"",O53&lt;&gt;""),( O53-I53)/I53,"")</f>
        <v/>
      </c>
      <c r="S53" s="74"/>
      <c r="T53" s="75" t="str">
        <f aca="false">IF(AND(R53&lt;&gt;"",S53&lt;&gt;""),R53-S53,"")</f>
        <v/>
      </c>
      <c r="U53" s="68"/>
      <c r="V53" s="76" t="str">
        <f aca="true">IF(A53&lt;&gt;"",TODAY()-A53,"")</f>
        <v/>
      </c>
      <c r="W53" s="68"/>
    </row>
    <row r="54" customFormat="false" ht="19.5" hidden="false" customHeight="true" outlineLevel="0" collapsed="false">
      <c r="A54" s="77"/>
      <c r="B54" s="78"/>
      <c r="C54" s="78"/>
      <c r="D54" s="78"/>
      <c r="E54" s="78"/>
      <c r="F54" s="78"/>
      <c r="G54" s="78"/>
      <c r="H54" s="78"/>
      <c r="I54" s="79"/>
      <c r="J54" s="80" t="str">
        <f aca="false">IF(I54&lt;&gt;"",I54*0.95,"")</f>
        <v/>
      </c>
      <c r="K54" s="81" t="str">
        <f aca="false">IF(I54&lt;&gt;"",I54*1.08,"")</f>
        <v/>
      </c>
      <c r="L54" s="82" t="str">
        <f aca="false">IF(I54&lt;&gt;"",I54*1.12,"")</f>
        <v/>
      </c>
      <c r="M54" s="79"/>
      <c r="O54" s="79"/>
      <c r="R54" s="83" t="str">
        <f aca="false">IF(AND(I54&lt;&gt;"",O54&lt;&gt;""),( O54-I54)/I54,"")</f>
        <v/>
      </c>
      <c r="S54" s="84"/>
      <c r="T54" s="85" t="str">
        <f aca="false">IF(AND(R54&lt;&gt;"",S54&lt;&gt;""),R54-S54,"")</f>
        <v/>
      </c>
      <c r="U54" s="78"/>
      <c r="V54" s="86" t="str">
        <f aca="true">IF(A54&lt;&gt;"",TODAY()-A54,"")</f>
        <v/>
      </c>
      <c r="W54" s="78"/>
    </row>
  </sheetData>
  <mergeCells count="8">
    <mergeCell ref="A1:V1"/>
    <mergeCell ref="A2:V2"/>
    <mergeCell ref="A3:D3"/>
    <mergeCell ref="E3:H3"/>
    <mergeCell ref="I3:L3"/>
    <mergeCell ref="M3:Q3"/>
    <mergeCell ref="R3:U3"/>
    <mergeCell ref="V3:W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13"/>
    <col collapsed="false" customWidth="true" hidden="false" outlineLevel="0" max="7" min="6" style="1" width="9"/>
    <col collapsed="false" customWidth="true" hidden="false" outlineLevel="0" max="9" min="8" style="1" width="12"/>
    <col collapsed="false" customWidth="true" hidden="false" outlineLevel="0" max="10" min="10" style="1" width="9"/>
    <col collapsed="false" customWidth="true" hidden="false" outlineLevel="0" max="11" min="11" style="1" width="11"/>
    <col collapsed="false" customWidth="true" hidden="false" outlineLevel="0" max="13" min="12" style="1" width="12"/>
    <col collapsed="false" customWidth="true" hidden="false" outlineLevel="0" max="14" min="14" style="1" width="11"/>
    <col collapsed="false" customWidth="true" hidden="false" outlineLevel="0" max="15" min="15" style="1" width="9"/>
    <col collapsed="false" customWidth="true" hidden="false" outlineLevel="0" max="16" min="16" style="1" width="13"/>
    <col collapsed="false" customWidth="true" hidden="false" outlineLevel="0" max="17" min="17" style="1" width="11"/>
    <col collapsed="false" customWidth="true" hidden="false" outlineLevel="0" max="18" min="18" style="1" width="12"/>
    <col collapsed="false" customWidth="true" hidden="false" outlineLevel="0" max="19" min="19" style="1" width="13"/>
  </cols>
  <sheetData>
    <row r="1" customFormat="false" ht="30" hidden="false" customHeight="true" outlineLevel="0" collapsed="false">
      <c r="A1" s="87" t="s">
        <v>182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</row>
    <row r="2" customFormat="false" ht="18" hidden="false" customHeight="true" outlineLevel="0" collapsed="false">
      <c r="A2" s="3" t="s">
        <v>183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36" hidden="false" customHeight="true" outlineLevel="0" collapsed="false">
      <c r="A3" s="88" t="s">
        <v>160</v>
      </c>
      <c r="B3" s="88" t="s">
        <v>184</v>
      </c>
      <c r="C3" s="88" t="s">
        <v>185</v>
      </c>
      <c r="D3" s="88" t="s">
        <v>186</v>
      </c>
      <c r="E3" s="88" t="s">
        <v>161</v>
      </c>
      <c r="F3" s="88" t="s">
        <v>163</v>
      </c>
      <c r="G3" s="88" t="s">
        <v>164</v>
      </c>
      <c r="H3" s="88" t="s">
        <v>187</v>
      </c>
      <c r="I3" s="88" t="s">
        <v>188</v>
      </c>
      <c r="J3" s="88" t="s">
        <v>189</v>
      </c>
      <c r="K3" s="88" t="s">
        <v>190</v>
      </c>
      <c r="L3" s="88" t="s">
        <v>191</v>
      </c>
      <c r="M3" s="88" t="s">
        <v>192</v>
      </c>
      <c r="N3" s="88" t="s">
        <v>193</v>
      </c>
      <c r="O3" s="88" t="s">
        <v>194</v>
      </c>
      <c r="P3" s="88" t="s">
        <v>195</v>
      </c>
      <c r="Q3" s="88" t="s">
        <v>178</v>
      </c>
      <c r="R3" s="88" t="s">
        <v>196</v>
      </c>
      <c r="S3" s="88" t="s">
        <v>179</v>
      </c>
    </row>
    <row r="4" customFormat="false" ht="19.5" hidden="false" customHeight="true" outlineLevel="0" collapsed="false">
      <c r="A4" s="89" t="s">
        <v>197</v>
      </c>
      <c r="B4" s="90" t="s">
        <v>198</v>
      </c>
      <c r="C4" s="90" t="s">
        <v>199</v>
      </c>
      <c r="D4" s="91" t="s">
        <v>200</v>
      </c>
      <c r="E4" s="90" t="s">
        <v>201</v>
      </c>
      <c r="F4" s="90" t="n">
        <v>18</v>
      </c>
      <c r="G4" s="90" t="n">
        <v>32</v>
      </c>
      <c r="H4" s="90" t="s">
        <v>202</v>
      </c>
      <c r="I4" s="92" t="n">
        <v>4.54</v>
      </c>
      <c r="J4" s="90" t="n">
        <v>100</v>
      </c>
      <c r="K4" s="92" t="n">
        <f aca="false">I4*J4</f>
        <v>454</v>
      </c>
      <c r="L4" s="90" t="s">
        <v>203</v>
      </c>
      <c r="M4" s="92" t="n">
        <v>8</v>
      </c>
      <c r="N4" s="92" t="n">
        <f aca="false">(M4-I4)*J4</f>
        <v>346</v>
      </c>
      <c r="O4" s="93" t="n">
        <f aca="false">IF(AND(I4&gt;0,M4&gt;0),(M4-I4)/I4,"")</f>
        <v>0.762114537444934</v>
      </c>
      <c r="P4" s="93"/>
      <c r="Q4" s="93" t="str">
        <f aca="false">IF(AND(O4&lt;&gt;"",P4&lt;&gt;""),O4-P4,"")</f>
        <v/>
      </c>
      <c r="R4" s="90"/>
      <c r="S4" s="90"/>
    </row>
    <row r="5" customFormat="false" ht="19.5" hidden="false" customHeight="true" outlineLevel="0" collapsed="false">
      <c r="A5" s="94" t="s">
        <v>204</v>
      </c>
      <c r="B5" s="95" t="s">
        <v>205</v>
      </c>
      <c r="C5" s="95" t="s">
        <v>199</v>
      </c>
      <c r="D5" s="91" t="s">
        <v>200</v>
      </c>
      <c r="E5" s="95" t="s">
        <v>201</v>
      </c>
      <c r="F5" s="95" t="n">
        <v>16</v>
      </c>
      <c r="G5" s="95" t="n">
        <v>48</v>
      </c>
      <c r="H5" s="95" t="s">
        <v>206</v>
      </c>
      <c r="I5" s="96" t="n">
        <v>131.96</v>
      </c>
      <c r="J5" s="95" t="n">
        <v>2</v>
      </c>
      <c r="K5" s="96" t="n">
        <f aca="false">I5*J5</f>
        <v>263.92</v>
      </c>
      <c r="L5" s="95" t="s">
        <v>207</v>
      </c>
      <c r="M5" s="96" t="n">
        <v>45.44</v>
      </c>
      <c r="N5" s="96" t="n">
        <f aca="false">(M5-I5)*J5</f>
        <v>-173.04</v>
      </c>
      <c r="O5" s="97" t="n">
        <f aca="false">IF(AND(I5&gt;0,M5&gt;0),(M5-I5)/I5,"")</f>
        <v>-0.655653228250985</v>
      </c>
      <c r="P5" s="97"/>
      <c r="Q5" s="97" t="str">
        <f aca="false">IF(AND(O5&lt;&gt;"",P5&lt;&gt;""),O5-P5,"")</f>
        <v/>
      </c>
      <c r="R5" s="95"/>
      <c r="S5" s="95"/>
    </row>
    <row r="6" customFormat="false" ht="19.5" hidden="false" customHeight="true" outlineLevel="0" collapsed="false">
      <c r="A6" s="89" t="s">
        <v>208</v>
      </c>
      <c r="B6" s="90" t="s">
        <v>209</v>
      </c>
      <c r="C6" s="90" t="s">
        <v>199</v>
      </c>
      <c r="D6" s="91" t="s">
        <v>200</v>
      </c>
      <c r="E6" s="90" t="s">
        <v>201</v>
      </c>
      <c r="F6" s="90" t="n">
        <v>22</v>
      </c>
      <c r="G6" s="90" t="n">
        <v>45</v>
      </c>
      <c r="H6" s="90" t="s">
        <v>210</v>
      </c>
      <c r="I6" s="92" t="n">
        <v>38.22</v>
      </c>
      <c r="J6" s="90" t="n">
        <v>9</v>
      </c>
      <c r="K6" s="92" t="n">
        <f aca="false">I6*J6</f>
        <v>343.98</v>
      </c>
      <c r="L6" s="90" t="s">
        <v>207</v>
      </c>
      <c r="M6" s="92" t="n">
        <v>27</v>
      </c>
      <c r="N6" s="92" t="n">
        <f aca="false">(M6-I6)*J6</f>
        <v>-100.98</v>
      </c>
      <c r="O6" s="93" t="n">
        <f aca="false">IF(AND(I6&gt;0,M6&gt;0),(M6-I6)/I6,"")</f>
        <v>-0.293563579277865</v>
      </c>
      <c r="P6" s="93"/>
      <c r="Q6" s="93" t="str">
        <f aca="false">IF(AND(O6&lt;&gt;"",P6&lt;&gt;""),O6-P6,"")</f>
        <v/>
      </c>
      <c r="R6" s="90"/>
      <c r="S6" s="90"/>
    </row>
    <row r="7" customFormat="false" ht="19.5" hidden="false" customHeight="true" outlineLevel="0" collapsed="false">
      <c r="A7" s="94" t="s">
        <v>211</v>
      </c>
      <c r="B7" s="95" t="s">
        <v>212</v>
      </c>
      <c r="C7" s="95" t="s">
        <v>199</v>
      </c>
      <c r="D7" s="91" t="s">
        <v>200</v>
      </c>
      <c r="E7" s="95" t="s">
        <v>201</v>
      </c>
      <c r="F7" s="95" t="n">
        <v>21</v>
      </c>
      <c r="G7" s="95" t="n">
        <v>42</v>
      </c>
      <c r="H7" s="95" t="s">
        <v>213</v>
      </c>
      <c r="I7" s="96" t="n">
        <v>2.66</v>
      </c>
      <c r="J7" s="95" t="n">
        <v>117</v>
      </c>
      <c r="K7" s="96" t="n">
        <f aca="false">I7*J7</f>
        <v>311.22</v>
      </c>
      <c r="L7" s="95" t="s">
        <v>207</v>
      </c>
      <c r="M7" s="96" t="n">
        <v>1.92</v>
      </c>
      <c r="N7" s="96" t="n">
        <f aca="false">(M7-I7)*J7</f>
        <v>-86.58</v>
      </c>
      <c r="O7" s="97" t="n">
        <f aca="false">IF(AND(I7&gt;0,M7&gt;0),(M7-I7)/I7,"")</f>
        <v>-0.278195488721805</v>
      </c>
      <c r="P7" s="97"/>
      <c r="Q7" s="97" t="str">
        <f aca="false">IF(AND(O7&lt;&gt;"",P7&lt;&gt;""),O7-P7,"")</f>
        <v/>
      </c>
      <c r="R7" s="95"/>
      <c r="S7" s="95"/>
    </row>
    <row r="8" customFormat="false" ht="19.5" hidden="false" customHeight="true" outlineLevel="0" collapsed="false">
      <c r="A8" s="89" t="s">
        <v>214</v>
      </c>
      <c r="B8" s="90" t="s">
        <v>215</v>
      </c>
      <c r="C8" s="90" t="s">
        <v>199</v>
      </c>
      <c r="D8" s="91" t="s">
        <v>200</v>
      </c>
      <c r="E8" s="90" t="s">
        <v>201</v>
      </c>
      <c r="F8" s="90" t="n">
        <v>18</v>
      </c>
      <c r="G8" s="90" t="n">
        <v>38</v>
      </c>
      <c r="H8" s="90" t="s">
        <v>216</v>
      </c>
      <c r="I8" s="92" t="n">
        <v>129.9</v>
      </c>
      <c r="J8" s="90" t="n">
        <v>3</v>
      </c>
      <c r="K8" s="92" t="n">
        <f aca="false">I8*J8</f>
        <v>389.7</v>
      </c>
      <c r="L8" s="90" t="s">
        <v>207</v>
      </c>
      <c r="M8" s="92" t="n">
        <v>156.89</v>
      </c>
      <c r="N8" s="92" t="n">
        <f aca="false">(M8-I8)*J8</f>
        <v>80.9699999999999</v>
      </c>
      <c r="O8" s="93" t="n">
        <f aca="false">IF(AND(I8&gt;0,M8&gt;0),(M8-I8)/I8,"")</f>
        <v>0.207775211701309</v>
      </c>
      <c r="P8" s="93"/>
      <c r="Q8" s="93" t="str">
        <f aca="false">IF(AND(O8&lt;&gt;"",P8&lt;&gt;""),O8-P8,"")</f>
        <v/>
      </c>
      <c r="R8" s="90"/>
      <c r="S8" s="90"/>
    </row>
    <row r="9" customFormat="false" ht="19.5" hidden="false" customHeight="true" outlineLevel="0" collapsed="false">
      <c r="A9" s="94" t="s">
        <v>217</v>
      </c>
      <c r="B9" s="95" t="s">
        <v>218</v>
      </c>
      <c r="C9" s="95" t="s">
        <v>199</v>
      </c>
      <c r="D9" s="91" t="s">
        <v>200</v>
      </c>
      <c r="E9" s="95" t="s">
        <v>201</v>
      </c>
      <c r="F9" s="95" t="n">
        <v>24</v>
      </c>
      <c r="G9" s="95" t="n">
        <v>32</v>
      </c>
      <c r="H9" s="95" t="s">
        <v>219</v>
      </c>
      <c r="I9" s="96" t="n">
        <v>42.58</v>
      </c>
      <c r="J9" s="95" t="n">
        <v>15</v>
      </c>
      <c r="K9" s="96" t="n">
        <f aca="false">I9*J9</f>
        <v>638.7</v>
      </c>
      <c r="L9" s="95" t="s">
        <v>207</v>
      </c>
      <c r="M9" s="96" t="n">
        <v>54.03</v>
      </c>
      <c r="N9" s="96" t="n">
        <f aca="false">(M9-I9)*J9</f>
        <v>171.75</v>
      </c>
      <c r="O9" s="97" t="n">
        <f aca="false">IF(AND(I9&gt;0,M9&gt;0),(M9-I9)/I9,"")</f>
        <v>0.268905589478629</v>
      </c>
      <c r="P9" s="97"/>
      <c r="Q9" s="97" t="str">
        <f aca="false">IF(AND(O9&lt;&gt;"",P9&lt;&gt;""),O9-P9,"")</f>
        <v/>
      </c>
      <c r="R9" s="95"/>
      <c r="S9" s="95"/>
    </row>
    <row r="10" customFormat="false" ht="19.5" hidden="false" customHeight="true" outlineLevel="0" collapsed="false">
      <c r="A10" s="89" t="s">
        <v>220</v>
      </c>
      <c r="B10" s="90" t="s">
        <v>221</v>
      </c>
      <c r="C10" s="90" t="s">
        <v>199</v>
      </c>
      <c r="D10" s="91" t="s">
        <v>200</v>
      </c>
      <c r="E10" s="90" t="s">
        <v>201</v>
      </c>
      <c r="F10" s="90" t="n">
        <v>20</v>
      </c>
      <c r="G10" s="90" t="n">
        <v>45</v>
      </c>
      <c r="H10" s="90" t="s">
        <v>219</v>
      </c>
      <c r="I10" s="92" t="n">
        <v>58.29</v>
      </c>
      <c r="J10" s="90" t="n">
        <v>11</v>
      </c>
      <c r="K10" s="92" t="n">
        <f aca="false">I10*J10</f>
        <v>641.19</v>
      </c>
      <c r="L10" s="90" t="s">
        <v>207</v>
      </c>
      <c r="M10" s="92" t="n">
        <v>55.1</v>
      </c>
      <c r="N10" s="92" t="n">
        <f aca="false">(M10-I10)*J10</f>
        <v>-35.09</v>
      </c>
      <c r="O10" s="93" t="n">
        <f aca="false">IF(AND(I10&gt;0,M10&gt;0),(M10-I10)/I10,"")</f>
        <v>-0.0547263681592039</v>
      </c>
      <c r="P10" s="93"/>
      <c r="Q10" s="93" t="str">
        <f aca="false">IF(AND(O10&lt;&gt;"",P10&lt;&gt;""),O10-P10,"")</f>
        <v/>
      </c>
      <c r="R10" s="90"/>
      <c r="S10" s="90"/>
    </row>
    <row r="11" customFormat="false" ht="19.5" hidden="false" customHeight="true" outlineLevel="0" collapsed="false">
      <c r="A11" s="94" t="s">
        <v>222</v>
      </c>
      <c r="B11" s="95" t="s">
        <v>223</v>
      </c>
      <c r="C11" s="95" t="s">
        <v>199</v>
      </c>
      <c r="D11" s="91" t="s">
        <v>200</v>
      </c>
      <c r="E11" s="95" t="s">
        <v>201</v>
      </c>
      <c r="F11" s="95" t="n">
        <v>19</v>
      </c>
      <c r="G11" s="95" t="n">
        <v>38</v>
      </c>
      <c r="H11" s="95" t="s">
        <v>224</v>
      </c>
      <c r="I11" s="96" t="n">
        <v>189.47</v>
      </c>
      <c r="J11" s="95" t="n">
        <v>2</v>
      </c>
      <c r="K11" s="96" t="n">
        <f aca="false">I11*J11</f>
        <v>378.94</v>
      </c>
      <c r="L11" s="95" t="s">
        <v>207</v>
      </c>
      <c r="M11" s="96" t="n">
        <v>197.57</v>
      </c>
      <c r="N11" s="96" t="n">
        <f aca="false">(M11-I11)*J11</f>
        <v>16.2</v>
      </c>
      <c r="O11" s="97" t="n">
        <f aca="false">IF(AND(I11&gt;0,M11&gt;0),(M11-I11)/I11,"")</f>
        <v>0.0427508312661635</v>
      </c>
      <c r="P11" s="97"/>
      <c r="Q11" s="97" t="str">
        <f aca="false">IF(AND(O11&lt;&gt;"",P11&lt;&gt;""),O11-P11,"")</f>
        <v/>
      </c>
      <c r="R11" s="95"/>
      <c r="S11" s="95"/>
    </row>
    <row r="12" customFormat="false" ht="19.5" hidden="false" customHeight="true" outlineLevel="0" collapsed="false">
      <c r="A12" s="89" t="s">
        <v>225</v>
      </c>
      <c r="B12" s="90" t="s">
        <v>226</v>
      </c>
      <c r="C12" s="90" t="s">
        <v>199</v>
      </c>
      <c r="D12" s="91" t="s">
        <v>200</v>
      </c>
      <c r="E12" s="90" t="s">
        <v>201</v>
      </c>
      <c r="F12" s="90" t="n">
        <v>21</v>
      </c>
      <c r="G12" s="90" t="n">
        <v>40</v>
      </c>
      <c r="H12" s="90" t="s">
        <v>210</v>
      </c>
      <c r="I12" s="92" t="n">
        <v>78.72</v>
      </c>
      <c r="J12" s="90" t="n">
        <v>4</v>
      </c>
      <c r="K12" s="92" t="n">
        <f aca="false">I12*J12</f>
        <v>314.88</v>
      </c>
      <c r="L12" s="90" t="s">
        <v>207</v>
      </c>
      <c r="M12" s="92" t="n">
        <v>100</v>
      </c>
      <c r="N12" s="92" t="n">
        <f aca="false">(M12-I12)*J12</f>
        <v>85.12</v>
      </c>
      <c r="O12" s="93" t="n">
        <f aca="false">IF(AND(I12&gt;0,M12&gt;0),(M12-I12)/I12,"")</f>
        <v>0.270325203252033</v>
      </c>
      <c r="P12" s="93"/>
      <c r="Q12" s="93" t="str">
        <f aca="false">IF(AND(O12&lt;&gt;"",P12&lt;&gt;""),O12-P12,"")</f>
        <v/>
      </c>
      <c r="R12" s="90"/>
      <c r="S12" s="90"/>
    </row>
    <row r="13" customFormat="false" ht="19.5" hidden="false" customHeight="true" outlineLevel="0" collapsed="false">
      <c r="A13" s="94" t="s">
        <v>227</v>
      </c>
      <c r="B13" s="95" t="s">
        <v>228</v>
      </c>
      <c r="C13" s="95" t="s">
        <v>199</v>
      </c>
      <c r="D13" s="91" t="s">
        <v>200</v>
      </c>
      <c r="E13" s="95" t="s">
        <v>201</v>
      </c>
      <c r="F13" s="95" t="n">
        <v>18</v>
      </c>
      <c r="G13" s="95" t="n">
        <v>35</v>
      </c>
      <c r="H13" s="95" t="s">
        <v>216</v>
      </c>
      <c r="I13" s="96" t="n">
        <v>26.64</v>
      </c>
      <c r="J13" s="95" t="n">
        <v>13</v>
      </c>
      <c r="K13" s="96" t="n">
        <f aca="false">I13*J13</f>
        <v>346.32</v>
      </c>
      <c r="L13" s="95" t="s">
        <v>207</v>
      </c>
      <c r="M13" s="96" t="n">
        <v>29.54</v>
      </c>
      <c r="N13" s="96" t="n">
        <f aca="false">(M13-I13)*J13</f>
        <v>37.7</v>
      </c>
      <c r="O13" s="97" t="n">
        <f aca="false">IF(AND(I13&gt;0,M13&gt;0),(M13-I13)/I13,"")</f>
        <v>0.108858858858859</v>
      </c>
      <c r="P13" s="97"/>
      <c r="Q13" s="97" t="str">
        <f aca="false">IF(AND(O13&lt;&gt;"",P13&lt;&gt;""),O13-P13,"")</f>
        <v/>
      </c>
      <c r="R13" s="95"/>
      <c r="S13" s="95"/>
    </row>
    <row r="14" customFormat="false" ht="19.5" hidden="false" customHeight="true" outlineLevel="0" collapsed="false">
      <c r="A14" s="89" t="s">
        <v>229</v>
      </c>
      <c r="B14" s="90" t="s">
        <v>230</v>
      </c>
      <c r="C14" s="90" t="s">
        <v>199</v>
      </c>
      <c r="D14" s="91" t="s">
        <v>200</v>
      </c>
      <c r="E14" s="90" t="s">
        <v>201</v>
      </c>
      <c r="F14" s="90" t="n">
        <v>22</v>
      </c>
      <c r="G14" s="90" t="n">
        <v>42</v>
      </c>
      <c r="H14" s="90" t="s">
        <v>231</v>
      </c>
      <c r="I14" s="92" t="n">
        <v>79.21</v>
      </c>
      <c r="J14" s="90" t="n">
        <v>2</v>
      </c>
      <c r="K14" s="92" t="n">
        <f aca="false">I14*J14</f>
        <v>158.42</v>
      </c>
      <c r="L14" s="90" t="s">
        <v>207</v>
      </c>
      <c r="M14" s="92" t="n">
        <v>86.83</v>
      </c>
      <c r="N14" s="92" t="n">
        <f aca="false">(M14-I14)*J14</f>
        <v>15.24</v>
      </c>
      <c r="O14" s="93" t="n">
        <f aca="false">IF(AND(I14&gt;0,M14&gt;0),(M14-I14)/I14,"")</f>
        <v>0.0961999747506629</v>
      </c>
      <c r="P14" s="93"/>
      <c r="Q14" s="93" t="str">
        <f aca="false">IF(AND(O14&lt;&gt;"",P14&lt;&gt;""),O14-P14,"")</f>
        <v/>
      </c>
      <c r="R14" s="90"/>
      <c r="S14" s="90"/>
    </row>
    <row r="15" customFormat="false" ht="19.5" hidden="false" customHeight="true" outlineLevel="0" collapsed="false">
      <c r="A15" s="94" t="s">
        <v>232</v>
      </c>
      <c r="B15" s="95" t="s">
        <v>233</v>
      </c>
      <c r="C15" s="95" t="s">
        <v>199</v>
      </c>
      <c r="D15" s="98" t="s">
        <v>234</v>
      </c>
      <c r="E15" s="95" t="s">
        <v>235</v>
      </c>
      <c r="F15" s="95" t="n">
        <v>35</v>
      </c>
      <c r="G15" s="95" t="n">
        <v>30</v>
      </c>
      <c r="H15" s="95" t="s">
        <v>236</v>
      </c>
      <c r="I15" s="96" t="n">
        <v>177</v>
      </c>
      <c r="J15" s="95" t="n">
        <v>0</v>
      </c>
      <c r="K15" s="96" t="n">
        <v>0</v>
      </c>
      <c r="L15" s="95" t="s">
        <v>201</v>
      </c>
      <c r="M15" s="96" t="n">
        <v>193.75</v>
      </c>
      <c r="N15" s="96" t="s">
        <v>201</v>
      </c>
      <c r="O15" s="97" t="n">
        <f aca="false">IF(AND(I15&gt;0,M15&gt;0),(M15-I15)/I15,"")</f>
        <v>0.0946327683615819</v>
      </c>
      <c r="P15" s="97"/>
      <c r="Q15" s="97" t="str">
        <f aca="false">IF(AND(O15&lt;&gt;"",P15&lt;&gt;""),O15-P15,"")</f>
        <v/>
      </c>
      <c r="R15" s="95"/>
      <c r="S15" s="95"/>
    </row>
    <row r="16" customFormat="false" ht="19.5" hidden="false" customHeight="true" outlineLevel="0" collapsed="false">
      <c r="A16" s="89" t="s">
        <v>237</v>
      </c>
      <c r="B16" s="90" t="s">
        <v>238</v>
      </c>
      <c r="C16" s="90" t="s">
        <v>199</v>
      </c>
      <c r="D16" s="98" t="s">
        <v>234</v>
      </c>
      <c r="E16" s="90" t="s">
        <v>235</v>
      </c>
      <c r="F16" s="90" t="n">
        <v>28</v>
      </c>
      <c r="G16" s="90" t="n">
        <v>28</v>
      </c>
      <c r="H16" s="90" t="s">
        <v>239</v>
      </c>
      <c r="I16" s="92" t="n">
        <v>15.59</v>
      </c>
      <c r="J16" s="90" t="n">
        <v>0</v>
      </c>
      <c r="K16" s="92" t="n">
        <v>0</v>
      </c>
      <c r="L16" s="90" t="s">
        <v>201</v>
      </c>
      <c r="M16" s="92" t="n">
        <v>25.02</v>
      </c>
      <c r="N16" s="92" t="s">
        <v>201</v>
      </c>
      <c r="O16" s="93" t="n">
        <f aca="false">IF(AND(I16&gt;0,M16&gt;0),(M16-I16)/I16,"")</f>
        <v>0.604874919820398</v>
      </c>
      <c r="P16" s="93"/>
      <c r="Q16" s="93" t="str">
        <f aca="false">IF(AND(O16&lt;&gt;"",P16&lt;&gt;""),O16-P16,"")</f>
        <v/>
      </c>
      <c r="R16" s="90"/>
      <c r="S16" s="90"/>
    </row>
    <row r="17" customFormat="false" ht="19.5" hidden="false" customHeight="true" outlineLevel="0" collapsed="false">
      <c r="A17" s="99"/>
      <c r="B17" s="99"/>
      <c r="C17" s="99"/>
      <c r="D17" s="99"/>
      <c r="E17" s="99"/>
      <c r="F17" s="99"/>
      <c r="G17" s="99"/>
      <c r="H17" s="99"/>
      <c r="I17" s="100"/>
      <c r="J17" s="99"/>
      <c r="K17" s="99"/>
      <c r="L17" s="99"/>
      <c r="M17" s="100"/>
      <c r="N17" s="99"/>
      <c r="O17" s="101"/>
      <c r="P17" s="101"/>
      <c r="Q17" s="99"/>
      <c r="R17" s="99"/>
      <c r="S17" s="99"/>
    </row>
    <row r="18" customFormat="false" ht="19.5" hidden="false" customHeight="true" outlineLevel="0" collapsed="false">
      <c r="A18" s="102"/>
      <c r="B18" s="102"/>
      <c r="C18" s="102"/>
      <c r="D18" s="102"/>
      <c r="E18" s="102"/>
      <c r="F18" s="102"/>
      <c r="G18" s="102"/>
      <c r="H18" s="102"/>
      <c r="I18" s="103"/>
      <c r="J18" s="102"/>
      <c r="K18" s="102"/>
      <c r="L18" s="102"/>
      <c r="M18" s="103"/>
      <c r="N18" s="102"/>
      <c r="O18" s="104"/>
      <c r="P18" s="104"/>
      <c r="Q18" s="102"/>
      <c r="R18" s="102"/>
      <c r="S18" s="102"/>
    </row>
    <row r="19" customFormat="false" ht="19.5" hidden="false" customHeight="true" outlineLevel="0" collapsed="false">
      <c r="A19" s="99"/>
      <c r="B19" s="99"/>
      <c r="C19" s="99"/>
      <c r="D19" s="99"/>
      <c r="E19" s="99"/>
      <c r="F19" s="99"/>
      <c r="G19" s="99"/>
      <c r="H19" s="99"/>
      <c r="I19" s="100"/>
      <c r="J19" s="99"/>
      <c r="K19" s="99"/>
      <c r="L19" s="99"/>
      <c r="M19" s="100"/>
      <c r="N19" s="99"/>
      <c r="O19" s="101"/>
      <c r="P19" s="101"/>
      <c r="Q19" s="99"/>
      <c r="R19" s="99"/>
      <c r="S19" s="99"/>
    </row>
    <row r="20" customFormat="false" ht="19.5" hidden="false" customHeight="true" outlineLevel="0" collapsed="false">
      <c r="A20" s="102"/>
      <c r="B20" s="102"/>
      <c r="C20" s="102"/>
      <c r="D20" s="102"/>
      <c r="E20" s="102"/>
      <c r="F20" s="102"/>
      <c r="G20" s="102"/>
      <c r="H20" s="102"/>
      <c r="I20" s="103"/>
      <c r="J20" s="102"/>
      <c r="K20" s="102"/>
      <c r="L20" s="102"/>
      <c r="M20" s="103"/>
      <c r="N20" s="102"/>
      <c r="O20" s="104"/>
      <c r="P20" s="104"/>
      <c r="Q20" s="102"/>
      <c r="R20" s="102"/>
      <c r="S20" s="102"/>
    </row>
    <row r="21" customFormat="false" ht="19.5" hidden="false" customHeight="true" outlineLevel="0" collapsed="false">
      <c r="A21" s="99"/>
      <c r="B21" s="99"/>
      <c r="C21" s="99"/>
      <c r="D21" s="99"/>
      <c r="E21" s="99"/>
      <c r="F21" s="99"/>
      <c r="G21" s="99"/>
      <c r="H21" s="99"/>
      <c r="I21" s="100"/>
      <c r="J21" s="99"/>
      <c r="K21" s="99"/>
      <c r="L21" s="99"/>
      <c r="M21" s="100"/>
      <c r="N21" s="99"/>
      <c r="O21" s="101"/>
      <c r="P21" s="101"/>
      <c r="Q21" s="99"/>
      <c r="R21" s="99"/>
      <c r="S21" s="99"/>
    </row>
    <row r="22" customFormat="false" ht="19.5" hidden="false" customHeight="true" outlineLevel="0" collapsed="false">
      <c r="A22" s="102"/>
      <c r="B22" s="102"/>
      <c r="C22" s="102"/>
      <c r="D22" s="102"/>
      <c r="E22" s="102"/>
      <c r="F22" s="102"/>
      <c r="G22" s="102"/>
      <c r="H22" s="102"/>
      <c r="I22" s="103"/>
      <c r="J22" s="102"/>
      <c r="K22" s="102"/>
      <c r="L22" s="102"/>
      <c r="M22" s="103"/>
      <c r="N22" s="102"/>
      <c r="O22" s="104"/>
      <c r="P22" s="104"/>
      <c r="Q22" s="102"/>
      <c r="R22" s="102"/>
      <c r="S22" s="102"/>
    </row>
    <row r="23" customFormat="false" ht="19.5" hidden="false" customHeight="true" outlineLevel="0" collapsed="false">
      <c r="A23" s="99"/>
      <c r="B23" s="99"/>
      <c r="C23" s="99"/>
      <c r="D23" s="99"/>
      <c r="E23" s="99"/>
      <c r="F23" s="99"/>
      <c r="G23" s="99"/>
      <c r="H23" s="99"/>
      <c r="I23" s="100"/>
      <c r="J23" s="99"/>
      <c r="K23" s="99"/>
      <c r="L23" s="99"/>
      <c r="M23" s="100"/>
      <c r="N23" s="99"/>
      <c r="O23" s="101"/>
      <c r="P23" s="101"/>
      <c r="Q23" s="99"/>
      <c r="R23" s="99"/>
      <c r="S23" s="99"/>
    </row>
    <row r="24" customFormat="false" ht="19.5" hidden="false" customHeight="true" outlineLevel="0" collapsed="false">
      <c r="A24" s="102"/>
      <c r="B24" s="102"/>
      <c r="C24" s="102"/>
      <c r="D24" s="102"/>
      <c r="E24" s="102"/>
      <c r="F24" s="102"/>
      <c r="G24" s="102"/>
      <c r="H24" s="102"/>
      <c r="I24" s="103"/>
      <c r="J24" s="102"/>
      <c r="K24" s="102"/>
      <c r="L24" s="102"/>
      <c r="M24" s="103"/>
      <c r="N24" s="102"/>
      <c r="O24" s="104"/>
      <c r="P24" s="104"/>
      <c r="Q24" s="102"/>
      <c r="R24" s="102"/>
      <c r="S24" s="102"/>
    </row>
    <row r="25" customFormat="false" ht="19.5" hidden="false" customHeight="true" outlineLevel="0" collapsed="false">
      <c r="A25" s="99"/>
      <c r="B25" s="99"/>
      <c r="C25" s="99"/>
      <c r="D25" s="99"/>
      <c r="E25" s="99"/>
      <c r="F25" s="99"/>
      <c r="G25" s="99"/>
      <c r="H25" s="99"/>
      <c r="I25" s="100"/>
      <c r="J25" s="99"/>
      <c r="K25" s="99"/>
      <c r="L25" s="99"/>
      <c r="M25" s="100"/>
      <c r="N25" s="99"/>
      <c r="O25" s="101"/>
      <c r="P25" s="101"/>
      <c r="Q25" s="99"/>
      <c r="R25" s="99"/>
      <c r="S25" s="99"/>
    </row>
    <row r="26" customFormat="false" ht="19.5" hidden="false" customHeight="true" outlineLevel="0" collapsed="false">
      <c r="A26" s="102"/>
      <c r="B26" s="102"/>
      <c r="C26" s="102"/>
      <c r="D26" s="102"/>
      <c r="E26" s="102"/>
      <c r="F26" s="102"/>
      <c r="G26" s="102"/>
      <c r="H26" s="102"/>
      <c r="I26" s="103"/>
      <c r="J26" s="102"/>
      <c r="K26" s="102"/>
      <c r="L26" s="102"/>
      <c r="M26" s="103"/>
      <c r="N26" s="102"/>
      <c r="O26" s="104"/>
      <c r="P26" s="104"/>
      <c r="Q26" s="102"/>
      <c r="R26" s="102"/>
      <c r="S26" s="102"/>
    </row>
    <row r="27" customFormat="false" ht="19.5" hidden="false" customHeight="true" outlineLevel="0" collapsed="false">
      <c r="A27" s="99"/>
      <c r="B27" s="99"/>
      <c r="C27" s="99"/>
      <c r="D27" s="99"/>
      <c r="E27" s="99"/>
      <c r="F27" s="99"/>
      <c r="G27" s="99"/>
      <c r="H27" s="99"/>
      <c r="I27" s="100"/>
      <c r="J27" s="99"/>
      <c r="K27" s="99"/>
      <c r="L27" s="99"/>
      <c r="M27" s="100"/>
      <c r="N27" s="99"/>
      <c r="O27" s="101"/>
      <c r="P27" s="101"/>
      <c r="Q27" s="99"/>
      <c r="R27" s="99"/>
      <c r="S27" s="99"/>
    </row>
    <row r="28" customFormat="false" ht="19.5" hidden="false" customHeight="true" outlineLevel="0" collapsed="false">
      <c r="A28" s="102"/>
      <c r="B28" s="102"/>
      <c r="C28" s="102"/>
      <c r="D28" s="102"/>
      <c r="E28" s="102"/>
      <c r="F28" s="102"/>
      <c r="G28" s="102"/>
      <c r="H28" s="102"/>
      <c r="I28" s="103"/>
      <c r="J28" s="102"/>
      <c r="K28" s="102"/>
      <c r="L28" s="102"/>
      <c r="M28" s="103"/>
      <c r="N28" s="102"/>
      <c r="O28" s="104"/>
      <c r="P28" s="104"/>
      <c r="Q28" s="102"/>
      <c r="R28" s="102"/>
      <c r="S28" s="102"/>
    </row>
    <row r="29" customFormat="false" ht="19.5" hidden="false" customHeight="true" outlineLevel="0" collapsed="false">
      <c r="A29" s="99"/>
      <c r="B29" s="99"/>
      <c r="C29" s="99"/>
      <c r="D29" s="99"/>
      <c r="E29" s="99"/>
      <c r="F29" s="99"/>
      <c r="G29" s="99"/>
      <c r="H29" s="99"/>
      <c r="I29" s="100"/>
      <c r="J29" s="99"/>
      <c r="K29" s="99"/>
      <c r="L29" s="99"/>
      <c r="M29" s="100"/>
      <c r="N29" s="99"/>
      <c r="O29" s="101"/>
      <c r="P29" s="101"/>
      <c r="Q29" s="99"/>
      <c r="R29" s="99"/>
      <c r="S29" s="99"/>
    </row>
    <row r="30" customFormat="false" ht="19.5" hidden="false" customHeight="true" outlineLevel="0" collapsed="false">
      <c r="A30" s="102"/>
      <c r="B30" s="102"/>
      <c r="C30" s="102"/>
      <c r="D30" s="102"/>
      <c r="E30" s="102"/>
      <c r="F30" s="102"/>
      <c r="G30" s="102"/>
      <c r="H30" s="102"/>
      <c r="I30" s="103"/>
      <c r="J30" s="102"/>
      <c r="K30" s="102"/>
      <c r="L30" s="102"/>
      <c r="M30" s="103"/>
      <c r="N30" s="102"/>
      <c r="O30" s="104"/>
      <c r="P30" s="104"/>
      <c r="Q30" s="102"/>
      <c r="R30" s="102"/>
      <c r="S30" s="102"/>
    </row>
    <row r="31" customFormat="false" ht="19.5" hidden="false" customHeight="true" outlineLevel="0" collapsed="false">
      <c r="A31" s="99"/>
      <c r="B31" s="99"/>
      <c r="C31" s="99"/>
      <c r="D31" s="99"/>
      <c r="E31" s="99"/>
      <c r="F31" s="99"/>
      <c r="G31" s="99"/>
      <c r="H31" s="99"/>
      <c r="I31" s="100"/>
      <c r="J31" s="99"/>
      <c r="K31" s="99"/>
      <c r="L31" s="99"/>
      <c r="M31" s="100"/>
      <c r="N31" s="99"/>
      <c r="O31" s="101"/>
      <c r="P31" s="101"/>
      <c r="Q31" s="99"/>
      <c r="R31" s="99"/>
      <c r="S31" s="99"/>
    </row>
    <row r="32" customFormat="false" ht="19.5" hidden="false" customHeight="true" outlineLevel="0" collapsed="false">
      <c r="A32" s="102"/>
      <c r="B32" s="102"/>
      <c r="C32" s="102"/>
      <c r="D32" s="102"/>
      <c r="E32" s="102"/>
      <c r="F32" s="102"/>
      <c r="G32" s="102"/>
      <c r="H32" s="102"/>
      <c r="I32" s="103"/>
      <c r="J32" s="102"/>
      <c r="K32" s="102"/>
      <c r="L32" s="102"/>
      <c r="M32" s="103"/>
      <c r="N32" s="102"/>
      <c r="O32" s="104"/>
      <c r="P32" s="104"/>
      <c r="Q32" s="102"/>
      <c r="R32" s="102"/>
      <c r="S32" s="102"/>
    </row>
    <row r="33" customFormat="false" ht="19.5" hidden="false" customHeight="true" outlineLevel="0" collapsed="false">
      <c r="A33" s="99"/>
      <c r="B33" s="99"/>
      <c r="C33" s="99"/>
      <c r="D33" s="99"/>
      <c r="E33" s="99"/>
      <c r="F33" s="99"/>
      <c r="G33" s="99"/>
      <c r="H33" s="99"/>
      <c r="I33" s="100"/>
      <c r="J33" s="99"/>
      <c r="K33" s="99"/>
      <c r="L33" s="99"/>
      <c r="M33" s="100"/>
      <c r="N33" s="99"/>
      <c r="O33" s="101"/>
      <c r="P33" s="101"/>
      <c r="Q33" s="99"/>
      <c r="R33" s="99"/>
      <c r="S33" s="99"/>
    </row>
    <row r="34" customFormat="false" ht="19.5" hidden="false" customHeight="true" outlineLevel="0" collapsed="false">
      <c r="A34" s="102"/>
      <c r="B34" s="102"/>
      <c r="C34" s="102"/>
      <c r="D34" s="102"/>
      <c r="E34" s="102"/>
      <c r="F34" s="102"/>
      <c r="G34" s="102"/>
      <c r="H34" s="102"/>
      <c r="I34" s="103"/>
      <c r="J34" s="102"/>
      <c r="K34" s="102"/>
      <c r="L34" s="102"/>
      <c r="M34" s="103"/>
      <c r="N34" s="102"/>
      <c r="O34" s="104"/>
      <c r="P34" s="104"/>
      <c r="Q34" s="102"/>
      <c r="R34" s="102"/>
      <c r="S34" s="102"/>
    </row>
    <row r="35" customFormat="false" ht="19.5" hidden="false" customHeight="true" outlineLevel="0" collapsed="false">
      <c r="A35" s="99"/>
      <c r="B35" s="99"/>
      <c r="C35" s="99"/>
      <c r="D35" s="99"/>
      <c r="E35" s="99"/>
      <c r="F35" s="99"/>
      <c r="G35" s="99"/>
      <c r="H35" s="99"/>
      <c r="I35" s="100"/>
      <c r="J35" s="99"/>
      <c r="K35" s="99"/>
      <c r="L35" s="99"/>
      <c r="M35" s="100"/>
      <c r="N35" s="99"/>
      <c r="O35" s="101"/>
      <c r="P35" s="101"/>
      <c r="Q35" s="99"/>
      <c r="R35" s="99"/>
      <c r="S35" s="99"/>
    </row>
    <row r="36" customFormat="false" ht="19.5" hidden="false" customHeight="true" outlineLevel="0" collapsed="false">
      <c r="A36" s="102"/>
      <c r="B36" s="102"/>
      <c r="C36" s="102"/>
      <c r="D36" s="102"/>
      <c r="E36" s="102"/>
      <c r="F36" s="102"/>
      <c r="G36" s="102"/>
      <c r="H36" s="102"/>
      <c r="I36" s="103"/>
      <c r="J36" s="102"/>
      <c r="K36" s="102"/>
      <c r="L36" s="102"/>
      <c r="M36" s="103"/>
      <c r="N36" s="102"/>
      <c r="O36" s="104"/>
      <c r="P36" s="104"/>
      <c r="Q36" s="102"/>
      <c r="R36" s="102"/>
      <c r="S36" s="102"/>
    </row>
    <row r="37" customFormat="false" ht="19.5" hidden="false" customHeight="true" outlineLevel="0" collapsed="false">
      <c r="A37" s="99"/>
      <c r="B37" s="99"/>
      <c r="C37" s="99"/>
      <c r="D37" s="99"/>
      <c r="E37" s="99"/>
      <c r="F37" s="99"/>
      <c r="G37" s="99"/>
      <c r="H37" s="99"/>
      <c r="I37" s="100"/>
      <c r="J37" s="99"/>
      <c r="K37" s="99"/>
      <c r="L37" s="99"/>
      <c r="M37" s="100"/>
      <c r="N37" s="99"/>
      <c r="O37" s="101"/>
      <c r="P37" s="101"/>
      <c r="Q37" s="99"/>
      <c r="R37" s="99"/>
      <c r="S37" s="99"/>
    </row>
    <row r="38" customFormat="false" ht="19.5" hidden="false" customHeight="true" outlineLevel="0" collapsed="false">
      <c r="A38" s="102"/>
      <c r="B38" s="102"/>
      <c r="C38" s="102"/>
      <c r="D38" s="102"/>
      <c r="E38" s="102"/>
      <c r="F38" s="102"/>
      <c r="G38" s="102"/>
      <c r="H38" s="102"/>
      <c r="I38" s="103"/>
      <c r="J38" s="102"/>
      <c r="K38" s="102"/>
      <c r="L38" s="102"/>
      <c r="M38" s="103"/>
      <c r="N38" s="102"/>
      <c r="O38" s="104"/>
      <c r="P38" s="104"/>
      <c r="Q38" s="102"/>
      <c r="R38" s="102"/>
      <c r="S38" s="102"/>
    </row>
    <row r="39" customFormat="false" ht="19.5" hidden="false" customHeight="true" outlineLevel="0" collapsed="false">
      <c r="A39" s="99"/>
      <c r="B39" s="99"/>
      <c r="C39" s="99"/>
      <c r="D39" s="99"/>
      <c r="E39" s="99"/>
      <c r="F39" s="99"/>
      <c r="G39" s="99"/>
      <c r="H39" s="99"/>
      <c r="I39" s="100"/>
      <c r="J39" s="99"/>
      <c r="K39" s="99"/>
      <c r="L39" s="99"/>
      <c r="M39" s="100"/>
      <c r="N39" s="99"/>
      <c r="O39" s="101"/>
      <c r="P39" s="101"/>
      <c r="Q39" s="99"/>
      <c r="R39" s="99"/>
      <c r="S39" s="99"/>
    </row>
    <row r="40" customFormat="false" ht="19.5" hidden="false" customHeight="true" outlineLevel="0" collapsed="false">
      <c r="A40" s="102"/>
      <c r="B40" s="102"/>
      <c r="C40" s="102"/>
      <c r="D40" s="102"/>
      <c r="E40" s="102"/>
      <c r="F40" s="102"/>
      <c r="G40" s="102"/>
      <c r="H40" s="102"/>
      <c r="I40" s="103"/>
      <c r="J40" s="102"/>
      <c r="K40" s="102"/>
      <c r="L40" s="102"/>
      <c r="M40" s="103"/>
      <c r="N40" s="102"/>
      <c r="O40" s="104"/>
      <c r="P40" s="104"/>
      <c r="Q40" s="102"/>
      <c r="R40" s="102"/>
      <c r="S40" s="102"/>
    </row>
    <row r="41" customFormat="false" ht="19.5" hidden="false" customHeight="true" outlineLevel="0" collapsed="false">
      <c r="A41" s="99"/>
      <c r="B41" s="99"/>
      <c r="C41" s="99"/>
      <c r="D41" s="99"/>
      <c r="E41" s="99"/>
      <c r="F41" s="99"/>
      <c r="G41" s="99"/>
      <c r="H41" s="99"/>
      <c r="I41" s="100"/>
      <c r="J41" s="99"/>
      <c r="K41" s="99"/>
      <c r="L41" s="99"/>
      <c r="M41" s="100"/>
      <c r="N41" s="99"/>
      <c r="O41" s="101"/>
      <c r="P41" s="101"/>
      <c r="Q41" s="99"/>
      <c r="R41" s="99"/>
      <c r="S41" s="99"/>
    </row>
    <row r="42" customFormat="false" ht="19.5" hidden="false" customHeight="true" outlineLevel="0" collapsed="false">
      <c r="A42" s="102"/>
      <c r="B42" s="102"/>
      <c r="C42" s="102"/>
      <c r="D42" s="102"/>
      <c r="E42" s="102"/>
      <c r="F42" s="102"/>
      <c r="G42" s="102"/>
      <c r="H42" s="102"/>
      <c r="I42" s="103"/>
      <c r="J42" s="102"/>
      <c r="K42" s="102"/>
      <c r="L42" s="102"/>
      <c r="M42" s="103"/>
      <c r="N42" s="102"/>
      <c r="O42" s="104"/>
      <c r="P42" s="104"/>
      <c r="Q42" s="102"/>
      <c r="R42" s="102"/>
      <c r="S42" s="102"/>
    </row>
    <row r="43" customFormat="false" ht="19.5" hidden="false" customHeight="true" outlineLevel="0" collapsed="false">
      <c r="A43" s="99"/>
      <c r="B43" s="99"/>
      <c r="C43" s="99"/>
      <c r="D43" s="99"/>
      <c r="E43" s="99"/>
      <c r="F43" s="99"/>
      <c r="G43" s="99"/>
      <c r="H43" s="99"/>
      <c r="I43" s="100"/>
      <c r="J43" s="99"/>
      <c r="K43" s="99"/>
      <c r="L43" s="99"/>
      <c r="M43" s="100"/>
      <c r="N43" s="99"/>
      <c r="O43" s="101"/>
      <c r="P43" s="101"/>
      <c r="Q43" s="99"/>
      <c r="R43" s="99"/>
      <c r="S43" s="99"/>
    </row>
    <row r="44" customFormat="false" ht="19.5" hidden="false" customHeight="true" outlineLevel="0" collapsed="false">
      <c r="A44" s="102"/>
      <c r="B44" s="102"/>
      <c r="C44" s="102"/>
      <c r="D44" s="102"/>
      <c r="E44" s="102"/>
      <c r="F44" s="102"/>
      <c r="G44" s="102"/>
      <c r="H44" s="102"/>
      <c r="I44" s="103"/>
      <c r="J44" s="102"/>
      <c r="K44" s="102"/>
      <c r="L44" s="102"/>
      <c r="M44" s="103"/>
      <c r="N44" s="102"/>
      <c r="O44" s="104"/>
      <c r="P44" s="104"/>
      <c r="Q44" s="102"/>
      <c r="R44" s="102"/>
      <c r="S44" s="102"/>
    </row>
    <row r="45" customFormat="false" ht="19.5" hidden="false" customHeight="true" outlineLevel="0" collapsed="false">
      <c r="A45" s="99"/>
      <c r="B45" s="99"/>
      <c r="C45" s="99"/>
      <c r="D45" s="99"/>
      <c r="E45" s="99"/>
      <c r="F45" s="99"/>
      <c r="G45" s="99"/>
      <c r="H45" s="99"/>
      <c r="I45" s="100"/>
      <c r="J45" s="99"/>
      <c r="K45" s="99"/>
      <c r="L45" s="99"/>
      <c r="M45" s="100"/>
      <c r="N45" s="99"/>
      <c r="O45" s="101"/>
      <c r="P45" s="101"/>
      <c r="Q45" s="99"/>
      <c r="R45" s="99"/>
      <c r="S45" s="99"/>
    </row>
    <row r="46" customFormat="false" ht="19.5" hidden="false" customHeight="true" outlineLevel="0" collapsed="false">
      <c r="A46" s="102"/>
      <c r="B46" s="102"/>
      <c r="C46" s="102"/>
      <c r="D46" s="102"/>
      <c r="E46" s="102"/>
      <c r="F46" s="102"/>
      <c r="G46" s="102"/>
      <c r="H46" s="102"/>
      <c r="I46" s="103"/>
      <c r="J46" s="102"/>
      <c r="K46" s="102"/>
      <c r="L46" s="102"/>
      <c r="M46" s="103"/>
      <c r="N46" s="102"/>
      <c r="O46" s="104"/>
      <c r="P46" s="104"/>
      <c r="Q46" s="102"/>
      <c r="R46" s="102"/>
      <c r="S46" s="102"/>
    </row>
    <row r="47" customFormat="false" ht="19.5" hidden="false" customHeight="true" outlineLevel="0" collapsed="false">
      <c r="A47" s="99"/>
      <c r="B47" s="99"/>
      <c r="C47" s="99"/>
      <c r="D47" s="99"/>
      <c r="E47" s="99"/>
      <c r="F47" s="99"/>
      <c r="G47" s="99"/>
      <c r="H47" s="99"/>
      <c r="I47" s="100"/>
      <c r="J47" s="99"/>
      <c r="K47" s="99"/>
      <c r="L47" s="99"/>
      <c r="M47" s="100"/>
      <c r="N47" s="99"/>
      <c r="O47" s="101"/>
      <c r="P47" s="101"/>
      <c r="Q47" s="99"/>
      <c r="R47" s="99"/>
      <c r="S47" s="99"/>
    </row>
  </sheetData>
  <mergeCells count="2">
    <mergeCell ref="A1:S1"/>
    <mergeCell ref="A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22"/>
  </cols>
  <sheetData>
    <row r="1" customFormat="false" ht="30" hidden="false" customHeight="true" outlineLevel="0" collapsed="false">
      <c r="A1" s="87" t="s">
        <v>240</v>
      </c>
      <c r="B1" s="87"/>
      <c r="C1" s="87"/>
      <c r="D1" s="87"/>
    </row>
    <row r="3" customFormat="false" ht="21.75" hidden="false" customHeight="true" outlineLevel="0" collapsed="false">
      <c r="A3" s="50" t="s">
        <v>241</v>
      </c>
      <c r="B3" s="50"/>
      <c r="C3" s="50"/>
      <c r="D3" s="50"/>
    </row>
    <row r="4" customFormat="false" ht="21.75" hidden="false" customHeight="true" outlineLevel="0" collapsed="false">
      <c r="A4" s="105" t="s">
        <v>242</v>
      </c>
      <c r="B4" s="106" t="n">
        <f aca="false">COUNTA('⚡ Paper Trading'!B5:B54)</f>
        <v>0</v>
      </c>
      <c r="C4" s="107" t="s">
        <v>243</v>
      </c>
    </row>
    <row r="5" customFormat="false" ht="21.75" hidden="false" customHeight="true" outlineLevel="0" collapsed="false">
      <c r="A5" s="108" t="s">
        <v>244</v>
      </c>
      <c r="B5" s="106" t="n">
        <f aca="false">COUNTIF('⚡ Paper Trading'!R5:R54,"&gt;0")</f>
        <v>0</v>
      </c>
      <c r="C5" s="107" t="s">
        <v>201</v>
      </c>
    </row>
    <row r="6" customFormat="false" ht="21.75" hidden="false" customHeight="true" outlineLevel="0" collapsed="false">
      <c r="A6" s="105" t="s">
        <v>245</v>
      </c>
      <c r="B6" s="109" t="n">
        <f aca="false">IFERROR(COUNTIF('⚡ Paper Trading'!R5:R54,"&gt;0")/COUNTA('⚡ Paper Trading'!B5:B54),0)</f>
        <v>0</v>
      </c>
      <c r="C6" s="107" t="s">
        <v>246</v>
      </c>
    </row>
    <row r="7" customFormat="false" ht="21.75" hidden="false" customHeight="true" outlineLevel="0" collapsed="false">
      <c r="A7" s="108" t="s">
        <v>247</v>
      </c>
      <c r="B7" s="109" t="n">
        <f aca="false">IFERROR(AVERAGEIF('⚡ Paper Trading'!R5:R54,"&gt;0",'⚡ Paper Trading'!R5:R54),0)</f>
        <v>0</v>
      </c>
      <c r="C7" s="107" t="s">
        <v>248</v>
      </c>
    </row>
    <row r="8" customFormat="false" ht="21.75" hidden="false" customHeight="true" outlineLevel="0" collapsed="false">
      <c r="A8" s="105" t="s">
        <v>249</v>
      </c>
      <c r="B8" s="109" t="n">
        <f aca="false">IFERROR(AVERAGEIF('⚡ Paper Trading'!R5:R54,"&lt;0",'⚡ Paper Trading'!R5:R54),0)</f>
        <v>0</v>
      </c>
      <c r="C8" s="107" t="s">
        <v>250</v>
      </c>
    </row>
    <row r="9" customFormat="false" ht="21.75" hidden="false" customHeight="true" outlineLevel="0" collapsed="false">
      <c r="A9" s="108" t="s">
        <v>251</v>
      </c>
      <c r="B9" s="109" t="n">
        <f aca="false">IFERROR(AVERAGE('⚡ Paper Trading'!T5:T54),0)</f>
        <v>0</v>
      </c>
      <c r="C9" s="107" t="s">
        <v>252</v>
      </c>
    </row>
    <row r="10" customFormat="false" ht="21.75" hidden="false" customHeight="true" outlineLevel="0" collapsed="false">
      <c r="A10" s="105" t="s">
        <v>253</v>
      </c>
      <c r="B10" s="106" t="n">
        <f aca="false">COUNTIF('⚡ Paper Trading'!C5:C54,"Swing Activo")</f>
        <v>0</v>
      </c>
      <c r="C10" s="107" t="s">
        <v>201</v>
      </c>
    </row>
    <row r="11" customFormat="false" ht="21.75" hidden="false" customHeight="true" outlineLevel="0" collapsed="false">
      <c r="A11" s="108" t="s">
        <v>254</v>
      </c>
      <c r="B11" s="106" t="n">
        <f aca="false">COUNTIF('⚡ Paper Trading'!C5:C54,"Entrar hoy")</f>
        <v>0</v>
      </c>
      <c r="C11" s="107" t="s">
        <v>201</v>
      </c>
    </row>
    <row r="13" customFormat="false" ht="21.75" hidden="false" customHeight="true" outlineLevel="0" collapsed="false">
      <c r="A13" s="51" t="s">
        <v>255</v>
      </c>
      <c r="B13" s="51"/>
      <c r="C13" s="51"/>
      <c r="D13" s="51"/>
    </row>
    <row r="14" customFormat="false" ht="21.75" hidden="false" customHeight="true" outlineLevel="0" collapsed="false">
      <c r="A14" s="105" t="s">
        <v>256</v>
      </c>
      <c r="B14" s="110" t="n">
        <f aca="false">COUNTIF('📊 Historial Real'!D4:D50,"Ejecutada")</f>
        <v>11</v>
      </c>
      <c r="C14" s="107" t="s">
        <v>257</v>
      </c>
    </row>
    <row r="15" customFormat="false" ht="21.75" hidden="false" customHeight="true" outlineLevel="0" collapsed="false">
      <c r="A15" s="108" t="s">
        <v>258</v>
      </c>
      <c r="B15" s="110" t="n">
        <f aca="false">COUNTIFS('📊 Historial Real'!D4:D50,"Ejecutada",'📊 Historial Real'!O4:O50,"&gt;0")</f>
        <v>7</v>
      </c>
      <c r="C15" s="107" t="s">
        <v>201</v>
      </c>
    </row>
    <row r="16" customFormat="false" ht="21.75" hidden="false" customHeight="true" outlineLevel="0" collapsed="false">
      <c r="A16" s="105" t="s">
        <v>259</v>
      </c>
      <c r="B16" s="111" t="n">
        <f aca="false">IFERROR(COUNTIFS('📊 Historial Real'!D4:D50,"Ejecutada",'📊 Historial Real'!O4:O50,"&gt;0")/COUNTIF('📊 Historial Real'!D4:D50,"Ejecutada"),0)</f>
        <v>0.636363636363636</v>
      </c>
      <c r="C16" s="107" t="s">
        <v>246</v>
      </c>
    </row>
    <row r="17" customFormat="false" ht="21.75" hidden="false" customHeight="true" outlineLevel="0" collapsed="false">
      <c r="A17" s="108" t="s">
        <v>247</v>
      </c>
      <c r="B17" s="111" t="n">
        <f aca="false">IFERROR(AVERAGEIFS('📊 Historial Real'!O4:O50,'📊 Historial Real'!D4:D50,"Ejecutada",'📊 Historial Real'!O4:O50,"&gt;0"),0)</f>
        <v>0.250990029536084</v>
      </c>
      <c r="C17" s="107" t="s">
        <v>260</v>
      </c>
    </row>
    <row r="18" customFormat="false" ht="21.75" hidden="false" customHeight="true" outlineLevel="0" collapsed="false">
      <c r="A18" s="105" t="s">
        <v>249</v>
      </c>
      <c r="B18" s="111" t="n">
        <f aca="false">IFERROR(AVERAGEIFS('📊 Historial Real'!O4:O50,'📊 Historial Real'!D4:D50,"Ejecutada",'📊 Historial Real'!O4:O50,"&lt;0"),0)</f>
        <v>-0.320534666102465</v>
      </c>
      <c r="C18" s="107" t="s">
        <v>261</v>
      </c>
    </row>
    <row r="19" customFormat="false" ht="21.75" hidden="false" customHeight="true" outlineLevel="0" collapsed="false">
      <c r="A19" s="108" t="s">
        <v>251</v>
      </c>
      <c r="B19" s="111" t="n">
        <f aca="false">IFERROR(AVERAGE('📊 Historial Real'!Q4:Q50),0)</f>
        <v>0</v>
      </c>
      <c r="C19" s="107" t="s">
        <v>252</v>
      </c>
    </row>
    <row r="20" customFormat="false" ht="21.75" hidden="false" customHeight="true" outlineLevel="0" collapsed="false">
      <c r="A20" s="105" t="s">
        <v>262</v>
      </c>
      <c r="B20" s="110" t="n">
        <f aca="false">COUNTIF('📊 Historial Real'!D4:D50,"No entré")</f>
        <v>2</v>
      </c>
      <c r="C20" s="107" t="s">
        <v>263</v>
      </c>
    </row>
  </sheetData>
  <mergeCells count="3">
    <mergeCell ref="A1:D1"/>
    <mergeCell ref="A3:D3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2026-04-18T22:37:37Z</dcterms:created>
  <dc:creator>openpyxl</dc:creator>
  <dc:description/>
  <dc:language>en-US</dc:language>
  <cp:lastModifiedBy/>
  <dcterms:modified xsi:type="dcterms:W3CDTF">2026-04-18T22:51:46Z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